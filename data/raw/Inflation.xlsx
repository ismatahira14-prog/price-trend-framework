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S\Downloads\"/>
    </mc:Choice>
  </mc:AlternateContent>
  <xr:revisionPtr revIDLastSave="0" documentId="13_ncr:1_{1D1DFF63-0931-4396-B657-3F435627CAA3}" xr6:coauthVersionLast="47" xr6:coauthVersionMax="47" xr10:uidLastSave="{00000000-0000-0000-0000-000000000000}"/>
  <bookViews>
    <workbookView xWindow="-120" yWindow="-120" windowWidth="29040" windowHeight="15720" xr2:uid="{147D93B4-673F-4FB7-A33E-CF288D48D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2" i="1" l="1"/>
  <c r="N122" i="1"/>
  <c r="M122" i="1"/>
  <c r="L122" i="1"/>
  <c r="K122" i="1"/>
  <c r="J122" i="1"/>
  <c r="I122" i="1"/>
  <c r="H122" i="1"/>
  <c r="G122" i="1"/>
  <c r="F122" i="1"/>
  <c r="E122" i="1"/>
  <c r="D122" i="1"/>
  <c r="C122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O9" i="1"/>
  <c r="N9" i="1"/>
  <c r="M9" i="1"/>
  <c r="L9" i="1"/>
  <c r="K9" i="1"/>
  <c r="J9" i="1"/>
  <c r="I9" i="1"/>
  <c r="H9" i="1"/>
  <c r="G9" i="1"/>
  <c r="F9" i="1"/>
  <c r="E9" i="1"/>
  <c r="D9" i="1"/>
  <c r="C9" i="1"/>
  <c r="O8" i="1"/>
  <c r="N8" i="1"/>
  <c r="M8" i="1"/>
  <c r="L8" i="1"/>
  <c r="K8" i="1"/>
  <c r="J8" i="1"/>
  <c r="I8" i="1"/>
  <c r="H8" i="1"/>
  <c r="G8" i="1"/>
  <c r="F8" i="1"/>
  <c r="E8" i="1"/>
  <c r="D8" i="1"/>
  <c r="C8" i="1"/>
  <c r="O7" i="1"/>
  <c r="N7" i="1"/>
  <c r="M7" i="1"/>
  <c r="L7" i="1"/>
  <c r="K7" i="1"/>
  <c r="J7" i="1"/>
  <c r="I7" i="1"/>
  <c r="H7" i="1"/>
  <c r="G7" i="1"/>
  <c r="F7" i="1"/>
  <c r="E7" i="1"/>
  <c r="D7" i="1"/>
  <c r="C7" i="1"/>
  <c r="O6" i="1"/>
  <c r="N6" i="1"/>
  <c r="M6" i="1"/>
  <c r="L6" i="1"/>
  <c r="K6" i="1"/>
  <c r="J6" i="1"/>
  <c r="I6" i="1"/>
  <c r="H6" i="1"/>
  <c r="G6" i="1"/>
  <c r="F6" i="1"/>
  <c r="E6" i="1"/>
  <c r="D6" i="1"/>
  <c r="C6" i="1"/>
  <c r="O5" i="1"/>
  <c r="N5" i="1"/>
  <c r="M5" i="1"/>
  <c r="L5" i="1"/>
  <c r="K5" i="1"/>
  <c r="J5" i="1"/>
  <c r="I5" i="1"/>
  <c r="H5" i="1"/>
  <c r="G5" i="1"/>
  <c r="F5" i="1"/>
  <c r="E5" i="1"/>
  <c r="D5" i="1"/>
  <c r="C5" i="1"/>
  <c r="O4" i="1"/>
  <c r="N4" i="1"/>
  <c r="M4" i="1"/>
  <c r="L4" i="1"/>
  <c r="K4" i="1"/>
  <c r="J4" i="1"/>
  <c r="I4" i="1"/>
  <c r="H4" i="1"/>
  <c r="G4" i="1"/>
  <c r="F4" i="1"/>
  <c r="E4" i="1"/>
  <c r="D4" i="1"/>
  <c r="C4" i="1"/>
  <c r="O3" i="1"/>
  <c r="N3" i="1"/>
  <c r="M3" i="1"/>
  <c r="L3" i="1"/>
  <c r="K3" i="1"/>
  <c r="J3" i="1"/>
  <c r="I3" i="1"/>
  <c r="H3" i="1"/>
  <c r="G3" i="1"/>
  <c r="F3" i="1"/>
  <c r="E3" i="1"/>
  <c r="D3" i="1"/>
  <c r="C3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<sst xmlns="http://schemas.openxmlformats.org/spreadsheetml/2006/main" count="136" uniqueCount="27">
  <si>
    <t>Year</t>
  </si>
  <si>
    <t>Month</t>
  </si>
  <si>
    <t>General</t>
  </si>
  <si>
    <t>Food and non-alcoholic Beverages</t>
  </si>
  <si>
    <t>Alcoholic Beverages, Tobacco</t>
  </si>
  <si>
    <t>Clothing and footwear</t>
  </si>
  <si>
    <t>Housing, water, Elec., Gas and other fuels</t>
  </si>
  <si>
    <t>Furnishing and household equipment maintenance</t>
  </si>
  <si>
    <t>Health</t>
  </si>
  <si>
    <t>Transport</t>
  </si>
  <si>
    <t>Communication</t>
  </si>
  <si>
    <t>Recreation and culture</t>
  </si>
  <si>
    <t>Education</t>
  </si>
  <si>
    <t>Restaurants and hotels</t>
  </si>
  <si>
    <t>Misc. goods and services</t>
  </si>
  <si>
    <t>07</t>
  </si>
  <si>
    <t>08</t>
  </si>
  <si>
    <t>09</t>
  </si>
  <si>
    <t>10</t>
  </si>
  <si>
    <t>11</t>
  </si>
  <si>
    <t>12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</si>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</sst>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85EB-D39C-49BD-ABBB-60399F030849}">
  <dimension ref="A1:O122"/>
  <sheetViews>
    <sheetView tabSelected="1" workbookViewId="0">
      <selection activeCell="J6" sqref="J6"/>
    </sheetView>
  </sheetViews>
  <sheetFormatPr defaultRowHeight="15" x14ac:dyDescent="0.25"/>
  <sheetData>
    <row r="1" spans="1:15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2016</v>
      </c>
      <c r="B2" s="2" t="s">
        <v>15</v>
      </c>
      <c r="C2" s="3">
        <f>ROUND((103.2*0.6015)+(103.12*0.3985),2)</f>
        <v>103.17</v>
      </c>
      <c r="D2" s="3">
        <f>ROUND((104.46*0.5291)+(104.07*0.4709),2)</f>
        <v>104.28</v>
      </c>
      <c r="E2" s="3">
        <f>ROUND((109.01*0.5021)+(106.28*0.4979),2)</f>
        <v>107.65</v>
      </c>
      <c r="F2" s="3">
        <f>ROUND((103.88*0.5604)+(102.96*0.4396),2)</f>
        <v>103.48</v>
      </c>
      <c r="G2" s="3">
        <f>ROUND((104*0.6882)+(102.02*0.3118),2)</f>
        <v>103.38</v>
      </c>
      <c r="H2" s="3">
        <f>ROUND((101.06*0.6008)+(101.63*0.3992),2)</f>
        <v>101.29</v>
      </c>
      <c r="I2" s="3">
        <f>ROUND((103.34*0.498)+(104.87*0.502),2)</f>
        <v>104.11</v>
      </c>
      <c r="J2" s="3">
        <f>ROUND((95.46 *0.625)+(96.9 *0.375),2)</f>
        <v>96</v>
      </c>
      <c r="K2" s="3">
        <f>ROUND((99.69 *0.6403)+(100.17*0.3597),2)</f>
        <v>99.86</v>
      </c>
      <c r="L2" s="3">
        <f>ROUND((101.79*0.6548)+(101.16*0.3452),2)</f>
        <v>101.57</v>
      </c>
      <c r="M2" s="3">
        <f>ROUND((103.21*0.7754)+(114.59*0.2246),2)</f>
        <v>105.77</v>
      </c>
      <c r="N2" s="3">
        <f>ROUND((102.94*0.6505)+(103.1*0.3495),2)</f>
        <v>103</v>
      </c>
      <c r="O2" s="3">
        <f>ROUND((102.84*0.5887)+(102.56*0.4113),2)</f>
        <v>102.72</v>
      </c>
    </row>
    <row r="3" spans="1:15" x14ac:dyDescent="0.25">
      <c r="A3">
        <v>2016</v>
      </c>
      <c r="B3" s="2" t="s">
        <v>16</v>
      </c>
      <c r="C3" s="3">
        <f>ROUND((102.73*0.6015)+(102.9*0.3985),2)</f>
        <v>102.8</v>
      </c>
      <c r="D3" s="3">
        <f>ROUND((102.42*0.5291)+(103.03*0.4709),2)</f>
        <v>102.71</v>
      </c>
      <c r="E3" s="3">
        <f>ROUND((109.41*0.5021)+(107.95*0.4979),2)</f>
        <v>108.68</v>
      </c>
      <c r="F3" s="3">
        <f>ROUND((104.17*0.5604)+(103.86*0.4396),2)</f>
        <v>104.03</v>
      </c>
      <c r="G3" s="3">
        <f>ROUND((104.04*0.6882)+(102.12*0.3118),2)</f>
        <v>103.44</v>
      </c>
      <c r="H3" s="3">
        <f>ROUND((101.29*0.6008)+(101.77*0.3992),2)</f>
        <v>101.48</v>
      </c>
      <c r="I3" s="3">
        <f>ROUND((103.65*0.498)+(105.5*0.502),2)</f>
        <v>104.58</v>
      </c>
      <c r="J3" s="3">
        <f>ROUND((95.97 *0.625)+(97.02 *0.375),2)</f>
        <v>96.36</v>
      </c>
      <c r="K3" s="3">
        <f>ROUND((99.82 *0.6403)+(100.23*0.3597),2)</f>
        <v>99.97</v>
      </c>
      <c r="L3" s="3">
        <f>ROUND((101.81*0.6548)+(101.27*0.3452),2)</f>
        <v>101.62</v>
      </c>
      <c r="M3" s="3">
        <f>ROUND((103.46*0.7754)+(114.59*0.2246),2)</f>
        <v>105.96</v>
      </c>
      <c r="N3" s="3">
        <f>ROUND((103.14*0.6505)+(103.45*0.3495),2)</f>
        <v>103.25</v>
      </c>
      <c r="O3" s="3">
        <f>ROUND((103.57*0.5887)+(102.96*0.4113),2)</f>
        <v>103.32</v>
      </c>
    </row>
    <row r="4" spans="1:15" x14ac:dyDescent="0.25">
      <c r="A4">
        <v>2016</v>
      </c>
      <c r="B4" s="2" t="s">
        <v>17</v>
      </c>
      <c r="C4" s="3">
        <f>ROUND((103.06*0.6015)+(103.49*0.3985),2)</f>
        <v>103.23</v>
      </c>
      <c r="D4" s="3">
        <f>ROUND((102.48*0.5291)+(104.1*0.4709),2)</f>
        <v>103.24</v>
      </c>
      <c r="E4" s="3">
        <f>ROUND((110.08*0.5021)+(108.21*0.4979),2)</f>
        <v>109.15</v>
      </c>
      <c r="F4" s="3">
        <f>ROUND((104.23*0.5604)+(104.26*0.4396),2)</f>
        <v>104.24</v>
      </c>
      <c r="G4" s="3">
        <f>ROUND((104.34*0.6882)+(102.4*0.3118),2)</f>
        <v>103.74</v>
      </c>
      <c r="H4" s="3">
        <f>ROUND((101.44*0.6008)+(102.23*0.3992),2)</f>
        <v>101.76</v>
      </c>
      <c r="I4" s="3">
        <f>ROUND((105.28*0.498)+(106.04*0.502),2)</f>
        <v>105.66</v>
      </c>
      <c r="J4" s="3">
        <f>ROUND((96.14 *0.625)+(97.2 *0.375),2)</f>
        <v>96.54</v>
      </c>
      <c r="K4" s="3">
        <f>ROUND((99.79 *0.6403)+(100.23*0.3597),2)</f>
        <v>99.95</v>
      </c>
      <c r="L4" s="3">
        <f>ROUND((102.13*0.6548)+(101.39*0.3452),2)</f>
        <v>101.87</v>
      </c>
      <c r="M4" s="3">
        <f>ROUND((106.02*0.7754)+(114.59*0.2246),2)</f>
        <v>107.94</v>
      </c>
      <c r="N4" s="3">
        <f>ROUND((103.92*0.6505)+(103.64*0.3495),2)</f>
        <v>103.82</v>
      </c>
      <c r="O4" s="3">
        <f>ROUND((103.09*0.5887)+(103.02*0.4113),2)</f>
        <v>103.06</v>
      </c>
    </row>
    <row r="5" spans="1:15" x14ac:dyDescent="0.25">
      <c r="A5">
        <v>2016</v>
      </c>
      <c r="B5" s="2" t="s">
        <v>18</v>
      </c>
      <c r="C5" s="3">
        <f>ROUND((103.87*0.6015)+(104.68*0.3985),2)</f>
        <v>104.19</v>
      </c>
      <c r="D5" s="3">
        <f>ROUND((103.65*0.5291)+(106.32*0.4709),2)</f>
        <v>104.91</v>
      </c>
      <c r="E5" s="3">
        <f>ROUND((110.08*0.5021)+(108.11*0.4979),2)</f>
        <v>109.1</v>
      </c>
      <c r="F5" s="3">
        <f>ROUND((104.33*0.5604)+(104.73*0.4396),2)</f>
        <v>104.51</v>
      </c>
      <c r="G5" s="3">
        <f>ROUND((105.24*0.6882)+(102.87*0.3118),2)</f>
        <v>104.5</v>
      </c>
      <c r="H5" s="3">
        <f>ROUND((101.8*0.6008)+(102.5*0.3992),2)</f>
        <v>102.08</v>
      </c>
      <c r="I5" s="3">
        <f>ROUND((106.56*0.498)+(107.5*0.502),2)</f>
        <v>107.03</v>
      </c>
      <c r="J5" s="3">
        <f>ROUND((96.11 *0.625)+(97.35 *0.375),2)</f>
        <v>96.58</v>
      </c>
      <c r="K5" s="3">
        <f>ROUND((99.73 *0.6403)+(100.35*0.3597),2)</f>
        <v>99.95</v>
      </c>
      <c r="L5" s="3">
        <f>ROUND((102.12*0.6548)+(101.49*0.3452),2)</f>
        <v>101.9</v>
      </c>
      <c r="M5" s="3">
        <f>ROUND((108.24*0.7754)+(114.59*0.2246),2)</f>
        <v>109.67</v>
      </c>
      <c r="N5" s="3">
        <f>ROUND((104.39*0.6505)+(104.45*0.3495),2)</f>
        <v>104.41</v>
      </c>
      <c r="O5" s="3">
        <f>ROUND((103.48*0.5887)+(103.64*0.4113),2)</f>
        <v>103.55</v>
      </c>
    </row>
    <row r="6" spans="1:15" x14ac:dyDescent="0.25">
      <c r="A6">
        <v>2016</v>
      </c>
      <c r="B6" s="2" t="s">
        <v>19</v>
      </c>
      <c r="C6" s="3">
        <f>ROUND((104.36*0.6015)+(105.18*0.3985),2)</f>
        <v>104.69</v>
      </c>
      <c r="D6" s="3">
        <f>ROUND((104.52*0.5291)+(106.93*0.4709),2)</f>
        <v>105.65</v>
      </c>
      <c r="E6" s="3">
        <f>ROUND((110.61*0.5021)+(108.76*0.4979),2)</f>
        <v>109.69</v>
      </c>
      <c r="F6" s="3">
        <f>ROUND((104.63*0.5604)+(105.09*0.4396),2)</f>
        <v>104.83</v>
      </c>
      <c r="G6" s="3">
        <f>ROUND((105.53*0.6882)+(103.42*0.3118),2)</f>
        <v>104.87</v>
      </c>
      <c r="H6" s="3">
        <f>ROUND((102.04*0.6008)+(102.06*0.3992),2)</f>
        <v>102.05</v>
      </c>
      <c r="I6" s="3">
        <f>ROUND((106.83*0.498)+(107.82*0.502),2)</f>
        <v>107.33</v>
      </c>
      <c r="J6" s="3">
        <f>ROUND((96.15 *0.625)+(97.81 *0.375),2)</f>
        <v>96.77</v>
      </c>
      <c r="K6" s="3">
        <f>ROUND((99.9 *0.6403)+(100.33*0.3597),2)</f>
        <v>100.05</v>
      </c>
      <c r="L6" s="3">
        <f>ROUND((102.29*0.6548)+(101.82*0.3452),2)</f>
        <v>102.13</v>
      </c>
      <c r="M6" s="3">
        <f>ROUND((108.3*0.7754)+(114.59*0.2246),2)</f>
        <v>109.71</v>
      </c>
      <c r="N6" s="3">
        <f>ROUND((105.42*0.6505)+(105.43*0.3495),2)</f>
        <v>105.42</v>
      </c>
      <c r="O6" s="3">
        <f>ROUND((103.78*0.5887)+(104.07*0.4113),2)</f>
        <v>103.9</v>
      </c>
    </row>
    <row r="7" spans="1:15" x14ac:dyDescent="0.25">
      <c r="A7">
        <v>2016</v>
      </c>
      <c r="B7" s="2" t="s">
        <v>20</v>
      </c>
      <c r="C7" s="3">
        <f>ROUND((103.74*0.6015)+(104.59*0.3985),2)</f>
        <v>104.08</v>
      </c>
      <c r="D7" s="3">
        <f>ROUND((102.04*0.5291)+(104.77*0.4709),2)</f>
        <v>103.33</v>
      </c>
      <c r="E7" s="3">
        <f>ROUND((111.48*0.5021)+(110.93*0.4979),2)</f>
        <v>111.21</v>
      </c>
      <c r="F7" s="3">
        <f>ROUND((104.83*0.5604)+(105.56*0.4396),2)</f>
        <v>105.15</v>
      </c>
      <c r="G7" s="3">
        <f>ROUND((105.61*0.6882)+(103.81*0.3118),2)</f>
        <v>105.05</v>
      </c>
      <c r="H7" s="3">
        <f>ROUND((102.21*0.6008)+(101.96*0.3992),2)</f>
        <v>102.11</v>
      </c>
      <c r="I7" s="3">
        <f>ROUND((107*0.498)+(108.46*0.502),2)</f>
        <v>107.73</v>
      </c>
      <c r="J7" s="3">
        <f>ROUND((97.46 *0.625)+(99.6 *0.375),2)</f>
        <v>98.26</v>
      </c>
      <c r="K7" s="3">
        <f>ROUND((99.9 *0.6403)+(100.33*0.3597),2)</f>
        <v>100.05</v>
      </c>
      <c r="L7" s="3">
        <f>ROUND((102.59*0.6548)+(102.06*0.3452),2)</f>
        <v>102.41</v>
      </c>
      <c r="M7" s="3">
        <f>ROUND((108.31*0.7754)+(114.59*0.2246),2)</f>
        <v>109.72</v>
      </c>
      <c r="N7" s="3">
        <f>ROUND((105.52*0.6505)+(105.87*0.3495),2)</f>
        <v>105.64</v>
      </c>
      <c r="O7" s="3">
        <f>ROUND((103.6*0.5887)+(104.14*0.4113),2)</f>
        <v>103.82</v>
      </c>
    </row>
    <row r="8" spans="1:15" x14ac:dyDescent="0.25">
      <c r="A8">
        <v>2017</v>
      </c>
      <c r="B8" s="2" t="s">
        <v>21</v>
      </c>
      <c r="C8" s="3">
        <f>ROUND((104.59*0.6015)+(104.44*0.3985),2)</f>
        <v>104.53</v>
      </c>
      <c r="D8" s="3">
        <f>ROUND((101.34*0.5291)+(103.19*0.4709),2)</f>
        <v>102.21</v>
      </c>
      <c r="E8" s="3">
        <f>ROUND((115.16*0.5021)+(112.03*0.4979),2)</f>
        <v>113.6</v>
      </c>
      <c r="F8" s="3">
        <f>ROUND((105.03*0.5604)+(105.84*0.4396),2)</f>
        <v>105.39</v>
      </c>
      <c r="G8" s="3">
        <f>ROUND((108.13*0.6882)+(105.74*0.3118),2)</f>
        <v>107.38</v>
      </c>
      <c r="H8" s="3">
        <f>ROUND((102.51*0.6008)+(102.28*0.3992),2)</f>
        <v>102.42</v>
      </c>
      <c r="I8" s="3">
        <f>ROUND((109.51*0.498)+(108.84*0.502),2)</f>
        <v>109.17</v>
      </c>
      <c r="J8" s="3">
        <f>ROUND((98.51 *0.625)+(100.08*0.375),2)</f>
        <v>99.1</v>
      </c>
      <c r="K8" s="3">
        <f>ROUND((99.9 *0.6403)+(100.25*0.3597),2)</f>
        <v>100.03</v>
      </c>
      <c r="L8" s="3">
        <f>ROUND((102.82*0.6548)+(102.05*0.3452),2)</f>
        <v>102.55</v>
      </c>
      <c r="M8" s="3">
        <f>ROUND((108.88*0.7754)+(114.59*0.2246),2)</f>
        <v>110.16</v>
      </c>
      <c r="N8" s="3">
        <f>ROUND((107.06*0.6505)+(106.28*0.3495),2)</f>
        <v>106.79</v>
      </c>
      <c r="O8" s="3">
        <f>ROUND((104.59*0.5887)+(104.44*0.4113),2)</f>
        <v>104.53</v>
      </c>
    </row>
    <row r="9" spans="1:15" x14ac:dyDescent="0.25">
      <c r="A9">
        <v>2017</v>
      </c>
      <c r="B9" s="2" t="s">
        <v>22</v>
      </c>
      <c r="C9" s="3">
        <f>ROUND((105.12*0.6015)+(104.91*0.3985),2)</f>
        <v>105.04</v>
      </c>
      <c r="D9" s="3">
        <f>ROUND((102.08*0.5291)+(103.59*0.4709),2)</f>
        <v>102.79</v>
      </c>
      <c r="E9" s="3">
        <f>ROUND((115.3*0.5021)+(112.1*0.4979),2)</f>
        <v>113.71</v>
      </c>
      <c r="F9" s="3">
        <f>ROUND((105.1*0.5604)+(106.04*0.4396),2)</f>
        <v>105.51</v>
      </c>
      <c r="G9" s="3">
        <f>ROUND((108.6*0.6882)+(106.29*0.3118),2)</f>
        <v>107.88</v>
      </c>
      <c r="H9" s="3">
        <f>ROUND((102.6*0.6008)+(102.27*0.3992),2)</f>
        <v>102.47</v>
      </c>
      <c r="I9" s="3">
        <f>ROUND((109.79*0.498)+(109.08*0.502),2)</f>
        <v>109.43</v>
      </c>
      <c r="J9" s="3">
        <f>ROUND((100.41*0.625)+(101.93*0.375),2)</f>
        <v>100.98</v>
      </c>
      <c r="K9" s="3">
        <f>ROUND((99.9 *0.6403)+(100.23*0.3597),2)</f>
        <v>100.02</v>
      </c>
      <c r="L9" s="3">
        <f>ROUND((102.89*0.6548)+(102.63*0.3452),2)</f>
        <v>102.8</v>
      </c>
      <c r="M9" s="3">
        <f>ROUND((108.97*0.7754)+(114.59*0.2246),2)</f>
        <v>110.23</v>
      </c>
      <c r="N9" s="3">
        <f>ROUND((107.38*0.6505)+(107.15*0.3495),2)</f>
        <v>107.3</v>
      </c>
      <c r="O9" s="3">
        <f>ROUND((104.92*0.5887)+(104.72*0.4113),2)</f>
        <v>104.84</v>
      </c>
    </row>
    <row r="10" spans="1:15" x14ac:dyDescent="0.25">
      <c r="A10">
        <v>2017</v>
      </c>
      <c r="B10" s="2" t="s">
        <v>23</v>
      </c>
      <c r="C10" s="3">
        <f>ROUND((106.18*0.6015)+(106.09*0.3985),2)</f>
        <v>106.14</v>
      </c>
      <c r="D10" s="3">
        <f>ROUND((105.36*0.5291)+(106.34*0.4709),2)</f>
        <v>105.82</v>
      </c>
      <c r="E10" s="3">
        <f>ROUND((115.58*0.5021)+(112.73*0.4979),2)</f>
        <v>114.16</v>
      </c>
      <c r="F10" s="3">
        <f>ROUND((105.3*0.5604)+(106.14*0.4396),2)</f>
        <v>105.67</v>
      </c>
      <c r="G10" s="3">
        <f>ROUND((108.21*0.6882)+(105.77*0.3118),2)</f>
        <v>107.45</v>
      </c>
      <c r="H10" s="3">
        <f>ROUND((102.7*0.6008)+(102.48*0.3992),2)</f>
        <v>102.61</v>
      </c>
      <c r="I10" s="3">
        <f>ROUND((109.98*0.498)+(109.67*0.502),2)</f>
        <v>109.82</v>
      </c>
      <c r="J10" s="3">
        <f>ROUND((101.64*0.625)+(103.15*0.375),2)</f>
        <v>102.21</v>
      </c>
      <c r="K10" s="3">
        <f>ROUND((100.06*0.6403)+(100.23*0.3597),2)</f>
        <v>100.12</v>
      </c>
      <c r="L10" s="3">
        <f>ROUND((102.92*0.6548)+(102.63*0.3452),2)</f>
        <v>102.82</v>
      </c>
      <c r="M10" s="3">
        <f>ROUND((109.02*0.7754)+(114.59*0.2246),2)</f>
        <v>110.27</v>
      </c>
      <c r="N10" s="3">
        <f>ROUND((107.93*0.6505)+(107.42*0.3495),2)</f>
        <v>107.75</v>
      </c>
      <c r="O10" s="3">
        <f>ROUND((105.23*0.5887)+(105.27*0.4113),2)</f>
        <v>105.25</v>
      </c>
    </row>
    <row r="11" spans="1:15" x14ac:dyDescent="0.25">
      <c r="A11">
        <v>2017</v>
      </c>
      <c r="B11" s="2" t="s">
        <v>24</v>
      </c>
      <c r="C11" s="3">
        <f>ROUND((107.2*0.6015)+(106.47*0.3985),2)</f>
        <v>106.91</v>
      </c>
      <c r="D11" s="3">
        <f>ROUND((106.46*0.5291)+(106.53*0.4709),2)</f>
        <v>106.49</v>
      </c>
      <c r="E11" s="3">
        <f>ROUND((115.82*0.5021)+(113.26*0.4979),2)</f>
        <v>114.55</v>
      </c>
      <c r="F11" s="3">
        <f>ROUND((105.86*0.5604)+(106.62*0.4396),2)</f>
        <v>106.19</v>
      </c>
      <c r="G11" s="3">
        <f>ROUND((108.86*0.6882)+(106.43*0.3118),2)</f>
        <v>108.1</v>
      </c>
      <c r="H11" s="3">
        <f>ROUND((103.06*0.6008)+(102.58*0.3992),2)</f>
        <v>102.87</v>
      </c>
      <c r="I11" s="3">
        <f>ROUND((110.04*0.498)+(109.7*0.502),2)</f>
        <v>109.87</v>
      </c>
      <c r="J11" s="3">
        <f>ROUND((102.24*0.625)+(103.94*0.375),2)</f>
        <v>102.88</v>
      </c>
      <c r="K11" s="3">
        <f>ROUND((100.06*0.6403)+(100.23*0.3597),2)</f>
        <v>100.12</v>
      </c>
      <c r="L11" s="3">
        <f>ROUND((102.44*0.6548)+(102.5*0.3452),2)</f>
        <v>102.46</v>
      </c>
      <c r="M11" s="3">
        <f>ROUND((116.82*0.7754)+(116.93*0.2246),2)</f>
        <v>116.84</v>
      </c>
      <c r="N11" s="3">
        <f>ROUND((108.24*0.6505)+(107.54*0.3495),2)</f>
        <v>108</v>
      </c>
      <c r="O11" s="3">
        <f>ROUND((105.67*0.5887)+(105.59*0.4113),2)</f>
        <v>105.64</v>
      </c>
    </row>
    <row r="12" spans="1:15" x14ac:dyDescent="0.25">
      <c r="A12">
        <v>2017</v>
      </c>
      <c r="B12" s="2" t="s">
        <v>25</v>
      </c>
      <c r="C12" s="3">
        <f>ROUND((106.86*0.6015)+(105.6*0.3985),2)</f>
        <v>106.36</v>
      </c>
      <c r="D12" s="3">
        <f>ROUND((105.1*0.5291)+(104.33*0.4709),2)</f>
        <v>104.74</v>
      </c>
      <c r="E12" s="3">
        <f>ROUND((115.87*0.5021)+(113.29*0.4979),2)</f>
        <v>114.59</v>
      </c>
      <c r="F12" s="3">
        <f>ROUND((106.59*0.5604)+(107.24*0.4396),2)</f>
        <v>106.88</v>
      </c>
      <c r="G12" s="3">
        <f>ROUND((108.75*0.6882)+(106.15*0.3118),2)</f>
        <v>107.94</v>
      </c>
      <c r="H12" s="3">
        <f>ROUND((103.7*0.6008)+(102.83*0.3992),2)</f>
        <v>103.35</v>
      </c>
      <c r="I12" s="3">
        <f>ROUND((110.1*0.498)+(109.7*0.502),2)</f>
        <v>109.9</v>
      </c>
      <c r="J12" s="3">
        <f>ROUND((102.42*0.625)+(103.94*0.375),2)</f>
        <v>102.99</v>
      </c>
      <c r="K12" s="3">
        <f>ROUND((100.06*0.6403)+(100.23*0.3597),2)</f>
        <v>100.12</v>
      </c>
      <c r="L12" s="3">
        <f>ROUND((102.44*0.6548)+(102.51*0.3452),2)</f>
        <v>102.46</v>
      </c>
      <c r="M12" s="3">
        <f>ROUND((116.55*0.7754)+(116.93*0.2246),2)</f>
        <v>116.64</v>
      </c>
      <c r="N12" s="3">
        <f>ROUND((108.44*0.6505)+(107.68*0.3495),2)</f>
        <v>108.17</v>
      </c>
      <c r="O12" s="3">
        <f>ROUND((105.69*0.5887)+(105.73*0.4113),2)</f>
        <v>105.71</v>
      </c>
    </row>
    <row r="13" spans="1:15" x14ac:dyDescent="0.25">
      <c r="A13">
        <v>2017</v>
      </c>
      <c r="B13" s="2" t="s">
        <v>26</v>
      </c>
      <c r="C13" s="3">
        <f>ROUND((107.08*0.6015)+(105.73*0.3985),2)</f>
        <v>106.54</v>
      </c>
      <c r="D13" s="3">
        <f>ROUND((105.28*0.5291)+(104.82*0.4709),2)</f>
        <v>105.06</v>
      </c>
      <c r="E13" s="3">
        <f>ROUND((104.02*0.5021)+(102.01*0.4979),2)</f>
        <v>103.02</v>
      </c>
      <c r="F13" s="3">
        <f>ROUND((107.44*0.5604)+(107.86*0.4396),2)</f>
        <v>107.62</v>
      </c>
      <c r="G13" s="3">
        <f>ROUND((108.79*0.6882)+(106.18*0.3118),2)</f>
        <v>107.98</v>
      </c>
      <c r="H13" s="3">
        <f>ROUND((104.09*0.6008)+(102.97*0.3992),2)</f>
        <v>103.64</v>
      </c>
      <c r="I13" s="3">
        <f>ROUND((112.16*0.498)+(109.96*0.502),2)</f>
        <v>111.06</v>
      </c>
      <c r="J13" s="3">
        <f>ROUND((101.9*0.625)+(103.32*0.375),2)</f>
        <v>102.43</v>
      </c>
      <c r="K13" s="3">
        <f>ROUND((100.1*0.6403)+(100.25*0.3597),2)</f>
        <v>100.15</v>
      </c>
      <c r="L13" s="3">
        <f>ROUND((102.5*0.6548)+(102.73*0.3452),2)</f>
        <v>102.58</v>
      </c>
      <c r="M13" s="3">
        <f>ROUND((117.03*0.7754)+(116.93*0.2246),2)</f>
        <v>117.01</v>
      </c>
      <c r="N13" s="3">
        <f>ROUND((109.46*0.6505)+(107.91*0.3495),2)</f>
        <v>108.92</v>
      </c>
      <c r="O13" s="3">
        <f>ROUND((106.77*0.5887)+(105.82*0.4113),2)</f>
        <v>106.38</v>
      </c>
    </row>
    <row r="14" spans="1:15" x14ac:dyDescent="0.25">
      <c r="A14">
        <v>2017</v>
      </c>
      <c r="B14" s="2" t="s">
        <v>15</v>
      </c>
      <c r="C14" s="3">
        <f>ROUND((107.71*0.6015)+(106.3*0.3985),2)</f>
        <v>107.15</v>
      </c>
      <c r="D14" s="3">
        <f>ROUND((106.29*0.5291)+(105.47*0.4709),2)</f>
        <v>105.9</v>
      </c>
      <c r="E14" s="3">
        <f>ROUND((103.25*0.5021)+(98.74 *0.4979),2)</f>
        <v>101</v>
      </c>
      <c r="F14" s="3">
        <f>ROUND((107.75*0.5604)+(108.71*0.4396),2)</f>
        <v>108.17</v>
      </c>
      <c r="G14" s="3">
        <f>ROUND((109.54*0.6882)+(106.91*0.3118),2)</f>
        <v>108.72</v>
      </c>
      <c r="H14" s="3">
        <f>ROUND((104.51*0.6008)+(103.54*0.3992),2)</f>
        <v>104.12</v>
      </c>
      <c r="I14" s="3">
        <f>ROUND((112.99*0.498)+(110.94*0.502),2)</f>
        <v>111.96</v>
      </c>
      <c r="J14" s="3">
        <f>ROUND((101.13*0.625)+(102.64*0.375),2)</f>
        <v>101.7</v>
      </c>
      <c r="K14" s="3">
        <f>ROUND((100.08*0.6403)+(100.2*0.3597),2)</f>
        <v>100.12</v>
      </c>
      <c r="L14" s="3">
        <f>ROUND((102.73*0.6548)+(102.95*0.3452),2)</f>
        <v>102.81</v>
      </c>
      <c r="M14" s="3">
        <f>ROUND((117.38*0.7754)+(116.93*0.2246),2)</f>
        <v>117.28</v>
      </c>
      <c r="N14" s="3">
        <f>ROUND((110.47*0.6505)+(109.52*0.3495),2)</f>
        <v>110.14</v>
      </c>
      <c r="O14" s="3">
        <f>ROUND((107.24*0.5887)+(106.09*0.4113),2)</f>
        <v>106.77</v>
      </c>
    </row>
    <row r="15" spans="1:15" x14ac:dyDescent="0.25">
      <c r="A15">
        <v>2017</v>
      </c>
      <c r="B15" s="2" t="s">
        <v>16</v>
      </c>
      <c r="C15" s="3">
        <f>ROUND((107.93*0.6015)+(106.37*0.3985),2)</f>
        <v>107.31</v>
      </c>
      <c r="D15" s="3">
        <f>ROUND((106.65*0.5291)+(105.32*0.4709),2)</f>
        <v>106.02</v>
      </c>
      <c r="E15" s="3">
        <f>ROUND((103.25*0.5021)+(97.83 *0.4979),2)</f>
        <v>100.55</v>
      </c>
      <c r="F15" s="3">
        <f>ROUND((108.27*0.5604)+(108.92*0.4396),2)</f>
        <v>108.56</v>
      </c>
      <c r="G15" s="3">
        <f>ROUND((109.77*0.6882)+(107.29*0.3118),2)</f>
        <v>109</v>
      </c>
      <c r="H15" s="3">
        <f>ROUND((104.59*0.6008)+(103.82*0.3992),2)</f>
        <v>104.28</v>
      </c>
      <c r="I15" s="3">
        <f>ROUND((113.09*0.498)+(111.27*0.502),2)</f>
        <v>112.18</v>
      </c>
      <c r="J15" s="3">
        <f>ROUND((100.16*0.625)+(102.01*0.375),2)</f>
        <v>100.85</v>
      </c>
      <c r="K15" s="3">
        <f>ROUND((100.26*0.6403)+(100.26*0.3597),2)</f>
        <v>100.26</v>
      </c>
      <c r="L15" s="3">
        <f>ROUND((102.94*0.6548)+(103.17*0.3452),2)</f>
        <v>103.02</v>
      </c>
      <c r="M15" s="3">
        <f>ROUND((117.77*0.7754)+(116.93*0.2246),2)</f>
        <v>117.58</v>
      </c>
      <c r="N15" s="3">
        <f>ROUND((110.71*0.6505)+(110.18*0.3495),2)</f>
        <v>110.52</v>
      </c>
      <c r="O15" s="3">
        <f>ROUND((107.5*0.5887)+(106.53*0.4113),2)</f>
        <v>107.1</v>
      </c>
    </row>
    <row r="16" spans="1:15" x14ac:dyDescent="0.25">
      <c r="A16">
        <v>2017</v>
      </c>
      <c r="B16" s="2" t="s">
        <v>17</v>
      </c>
      <c r="C16" s="3">
        <f>ROUND((108.38*0.6015)+(107.54*0.3985),2)</f>
        <v>108.05</v>
      </c>
      <c r="D16" s="3">
        <f>ROUND((107.32*0.5291)+(107.49*0.4709),2)</f>
        <v>107.4</v>
      </c>
      <c r="E16" s="3">
        <f>ROUND((103.59*0.5021)+(96.36 *0.4979),2)</f>
        <v>99.99</v>
      </c>
      <c r="F16" s="3">
        <f>ROUND((108.41*0.5604)+(109.19*0.4396),2)</f>
        <v>108.75</v>
      </c>
      <c r="G16" s="3">
        <f>ROUND((109.98*0.6882)+(107.7*0.3118),2)</f>
        <v>109.27</v>
      </c>
      <c r="H16" s="3">
        <f>ROUND((104.51*0.6008)+(104.29*0.3992),2)</f>
        <v>104.42</v>
      </c>
      <c r="I16" s="3">
        <f>ROUND((113.9*0.498)+(111.57*0.502),2)</f>
        <v>112.73</v>
      </c>
      <c r="J16" s="3">
        <f>ROUND((101.3*0.625)+(103.34*0.375),2)</f>
        <v>102.07</v>
      </c>
      <c r="K16" s="3">
        <f>ROUND((100.25*0.6403)+(100.36*0.3597),2)</f>
        <v>100.29</v>
      </c>
      <c r="L16" s="3">
        <f>ROUND((103.12*0.6548)+(103.23*0.3452),2)</f>
        <v>103.16</v>
      </c>
      <c r="M16" s="3">
        <f>ROUND((117.91*0.7754)+(116.93*0.2246),2)</f>
        <v>117.69</v>
      </c>
      <c r="N16" s="3">
        <f>ROUND((111.34*0.6505)+(111.21*0.3495),2)</f>
        <v>111.29</v>
      </c>
      <c r="O16" s="3">
        <f>ROUND((108.22*0.5887)+(107.04*0.4113),2)</f>
        <v>107.73</v>
      </c>
    </row>
    <row r="17" spans="1:15" x14ac:dyDescent="0.25">
      <c r="A17">
        <v>2017</v>
      </c>
      <c r="B17" s="2" t="s">
        <v>18</v>
      </c>
      <c r="C17" s="3">
        <f>ROUND((109.34*0.6015)+(109.05*0.3985),2)</f>
        <v>109.22</v>
      </c>
      <c r="D17" s="3">
        <f>ROUND((108.8*0.5291)+(109.91*0.4709),2)</f>
        <v>109.32</v>
      </c>
      <c r="E17" s="3">
        <f>ROUND((103.59*0.5021)+(94.85 *0.4979),2)</f>
        <v>99.24</v>
      </c>
      <c r="F17" s="3">
        <f>ROUND((108.48*0.5604)+(109.83*0.4396),2)</f>
        <v>109.07</v>
      </c>
      <c r="G17" s="3">
        <f>ROUND((110.67*0.6882)+(108.76*0.3118),2)</f>
        <v>110.07</v>
      </c>
      <c r="H17" s="3">
        <f>ROUND((104.63*0.6008)+(104.88*0.3992),2)</f>
        <v>104.73</v>
      </c>
      <c r="I17" s="3">
        <f>ROUND((114.75*0.498)+(112.54*0.502),2)</f>
        <v>113.64</v>
      </c>
      <c r="J17" s="3">
        <f>ROUND((102.93*0.625)+(104.76*0.375),2)</f>
        <v>103.62</v>
      </c>
      <c r="K17" s="3">
        <f>ROUND((100.38*0.6403)+(100.38*0.3597),2)</f>
        <v>100.38</v>
      </c>
      <c r="L17" s="3">
        <f>ROUND((103.15*0.6548)+(103.7*0.3452),2)</f>
        <v>103.34</v>
      </c>
      <c r="M17" s="3">
        <f>ROUND((121.28*0.7754)+(116.93*0.2246),2)</f>
        <v>120.3</v>
      </c>
      <c r="N17" s="3">
        <f>ROUND((111.56*0.6505)+(112.57*0.3495),2)</f>
        <v>111.91</v>
      </c>
      <c r="O17" s="3">
        <f>ROUND((108.38*0.5887)+(108.26*0.4113),2)</f>
        <v>108.33</v>
      </c>
    </row>
    <row r="18" spans="1:15" x14ac:dyDescent="0.25">
      <c r="A18">
        <v>2017</v>
      </c>
      <c r="B18" s="2" t="s">
        <v>19</v>
      </c>
      <c r="C18" s="3">
        <f>ROUND((110.03*0.6015)+(109.83*0.3985),2)</f>
        <v>109.95</v>
      </c>
      <c r="D18" s="3">
        <f>ROUND((110.25*0.5291)+(110.96*0.4709),2)</f>
        <v>110.58</v>
      </c>
      <c r="E18" s="3">
        <f>ROUND((103.7*0.5021)+(94.13 *0.4979),2)</f>
        <v>98.94</v>
      </c>
      <c r="F18" s="3">
        <f>ROUND((108.7*0.5604)+(110.94*0.4396),2)</f>
        <v>109.68</v>
      </c>
      <c r="G18" s="3">
        <f>ROUND((110.66*0.6882)+(109.48*0.3118),2)</f>
        <v>110.29</v>
      </c>
      <c r="H18" s="3">
        <f>ROUND((105*0.6008)+(104.98*0.3992),2)</f>
        <v>104.99</v>
      </c>
      <c r="I18" s="3">
        <f>ROUND((115.41*0.498)+(112.61*0.502),2)</f>
        <v>114</v>
      </c>
      <c r="J18" s="3">
        <f>ROUND((104.44*0.625)+(106.16*0.375),2)</f>
        <v>105.09</v>
      </c>
      <c r="K18" s="3">
        <f>ROUND((100.39*0.6403)+(100.41*0.3597),2)</f>
        <v>100.4</v>
      </c>
      <c r="L18" s="3">
        <f>ROUND((103.01*0.6548)+(104.74*0.3452),2)</f>
        <v>103.61</v>
      </c>
      <c r="M18" s="3">
        <f>ROUND((122.81*0.7754)+(117.04*0.2246),2)</f>
        <v>121.51</v>
      </c>
      <c r="N18" s="3">
        <f>ROUND((111.78*0.6505)+(112.85*0.3495),2)</f>
        <v>112.15</v>
      </c>
      <c r="O18" s="3">
        <f>ROUND((108.75*0.5887)+(108.39*0.4113),2)</f>
        <v>108.6</v>
      </c>
    </row>
    <row r="19" spans="1:15" x14ac:dyDescent="0.25">
      <c r="A19">
        <v>2017</v>
      </c>
      <c r="B19" s="2" t="s">
        <v>20</v>
      </c>
      <c r="C19" s="3">
        <f>ROUND((110.08*0.6015)+(109.68*0.3985),2)</f>
        <v>109.92</v>
      </c>
      <c r="D19" s="3">
        <f>ROUND((109.31*0.5291)+(109.78*0.4709),2)</f>
        <v>109.53</v>
      </c>
      <c r="E19" s="3">
        <f>ROUND((103.75*0.5021)+(94.3 *0.4979),2)</f>
        <v>99.04</v>
      </c>
      <c r="F19" s="3">
        <f>ROUND((109.27*0.5604)+(111.6*0.4396),2)</f>
        <v>110.29</v>
      </c>
      <c r="G19" s="3">
        <f>ROUND((111.01*0.6882)+(110.1*0.3118),2)</f>
        <v>110.73</v>
      </c>
      <c r="H19" s="3">
        <f>ROUND((105.31*0.6008)+(105.31*0.3992),2)</f>
        <v>105.31</v>
      </c>
      <c r="I19" s="3">
        <f>ROUND((116.44*0.498)+(112.81*0.502),2)</f>
        <v>114.62</v>
      </c>
      <c r="J19" s="3">
        <f>ROUND((105.33*0.625)+(107.09*0.375),2)</f>
        <v>105.99</v>
      </c>
      <c r="K19" s="3">
        <f>ROUND((100.39*0.6403)+(100.43*0.3597),2)</f>
        <v>100.4</v>
      </c>
      <c r="L19" s="3">
        <f>ROUND((103.52*0.6548)+(105.13*0.3452),2)</f>
        <v>104.08</v>
      </c>
      <c r="M19" s="3">
        <f>ROUND((122.81*0.7754)+(118.72*0.2246),2)</f>
        <v>121.89</v>
      </c>
      <c r="N19" s="3">
        <f>ROUND((112.04*0.6505)+(113.17*0.3495),2)</f>
        <v>112.43</v>
      </c>
      <c r="O19" s="3">
        <f>ROUND((110.49*0.5887)+(108.65*0.4113),2)</f>
        <v>109.73</v>
      </c>
    </row>
    <row r="20" spans="1:15" x14ac:dyDescent="0.25">
      <c r="A20">
        <v>2018</v>
      </c>
      <c r="B20" s="2" t="s">
        <v>21</v>
      </c>
      <c r="C20" s="3">
        <f>ROUND((110.28*0.6015)+(109.6*0.3985),2)</f>
        <v>110.01</v>
      </c>
      <c r="D20" s="3">
        <f>ROUND((106.99*0.5291)+(108.06*0.4709),2)</f>
        <v>107.49</v>
      </c>
      <c r="E20" s="3">
        <f>ROUND((104.69*0.5021)+(94.71 *0.4979),2)</f>
        <v>99.72</v>
      </c>
      <c r="F20" s="3">
        <f>ROUND((109.82*0.5604)+(112.67*0.4396),2)</f>
        <v>111.07</v>
      </c>
      <c r="G20" s="3">
        <f>ROUND((112.44*0.6882)+(111.23*0.3118),2)</f>
        <v>112.06</v>
      </c>
      <c r="H20" s="3">
        <f>ROUND((105.81*0.6008)+(105.86*0.3992),2)</f>
        <v>105.83</v>
      </c>
      <c r="I20" s="3">
        <f>ROUND((116.55*0.498)+(113.6*0.502),2)</f>
        <v>115.07</v>
      </c>
      <c r="J20" s="3">
        <f>ROUND((108.22*0.625)+(109.7*0.375),2)</f>
        <v>108.78</v>
      </c>
      <c r="K20" s="3">
        <f>ROUND((100.39*0.6403)+(101.63*0.3597),2)</f>
        <v>100.84</v>
      </c>
      <c r="L20" s="3">
        <f>ROUND((103.6*0.6548)+(106.27*0.3452),2)</f>
        <v>104.52</v>
      </c>
      <c r="M20" s="3">
        <f>ROUND((125.25*0.7754)+(118.64*0.2246),2)</f>
        <v>123.77</v>
      </c>
      <c r="N20" s="3">
        <f>ROUND((113.57*0.6505)+(113.57*0.3495),2)</f>
        <v>113.57</v>
      </c>
      <c r="O20" s="3">
        <f>ROUND((111.19*0.5887)+(109.69*0.4113),2)</f>
        <v>110.57</v>
      </c>
    </row>
    <row r="21" spans="1:15" x14ac:dyDescent="0.25">
      <c r="A21">
        <v>2018</v>
      </c>
      <c r="B21" s="2" t="s">
        <v>22</v>
      </c>
      <c r="C21" s="3">
        <f>ROUND((110.12*0.6015)+(109.11*0.3985),2)</f>
        <v>109.72</v>
      </c>
      <c r="D21" s="3">
        <f>ROUND((105.72*0.5291)+(106.13*0.4709),2)</f>
        <v>105.91</v>
      </c>
      <c r="E21" s="3">
        <f>ROUND((106.39*0.5021)+(94.79 *0.4979),2)</f>
        <v>100.61</v>
      </c>
      <c r="F21" s="3">
        <f>ROUND((110.19*0.5604)+(113.28*0.4396),2)</f>
        <v>111.55</v>
      </c>
      <c r="G21" s="3">
        <f>ROUND((112.37*0.6882)+(111.16*0.3118),2)</f>
        <v>111.99</v>
      </c>
      <c r="H21" s="3">
        <f>ROUND((106.24*0.6008)+(106.48*0.3992),2)</f>
        <v>106.34</v>
      </c>
      <c r="I21" s="3">
        <f>ROUND((117.04*0.498)+(115.22*0.502),2)</f>
        <v>116.13</v>
      </c>
      <c r="J21" s="3">
        <f>ROUND((110.09*0.625)+(111.52*0.375),2)</f>
        <v>110.63</v>
      </c>
      <c r="K21" s="3">
        <f>ROUND((100.43*0.6403)+(101.63*0.3597),2)</f>
        <v>100.86</v>
      </c>
      <c r="L21" s="3">
        <f>ROUND((103.81*0.6548)+(106.46*0.3452),2)</f>
        <v>104.72</v>
      </c>
      <c r="M21" s="3">
        <f>ROUND((125.86*0.7754)+(118.86*0.2246),2)</f>
        <v>124.29</v>
      </c>
      <c r="N21" s="3">
        <f>ROUND((113.93*0.6505)+(114.09*0.3495),2)</f>
        <v>113.99</v>
      </c>
      <c r="O21" s="3">
        <f>ROUND((111.02*0.5887)+(110.21*0.4113),2)</f>
        <v>110.69</v>
      </c>
    </row>
    <row r="22" spans="1:15" x14ac:dyDescent="0.25">
      <c r="A22">
        <v>2018</v>
      </c>
      <c r="B22" s="2" t="s">
        <v>23</v>
      </c>
      <c r="C22" s="3">
        <f>ROUND((110.43*0.6015)+(109.25*0.3985),2)</f>
        <v>109.96</v>
      </c>
      <c r="D22" s="3">
        <f>ROUND((105.25*0.5291)+(105.39*0.4709),2)</f>
        <v>105.32</v>
      </c>
      <c r="E22" s="3">
        <f>ROUND((109.46*0.5021)+(94.7 *0.4979),2)</f>
        <v>102.11</v>
      </c>
      <c r="F22" s="3">
        <f>ROUND((110.81*0.5604)+(113.78*0.4396),2)</f>
        <v>112.12</v>
      </c>
      <c r="G22" s="3">
        <f>ROUND((112.1*0.6882)+(111.31*0.3118),2)</f>
        <v>111.85</v>
      </c>
      <c r="H22" s="3">
        <f>ROUND((106.66*0.6008)+(106.8*0.3992),2)</f>
        <v>106.72</v>
      </c>
      <c r="I22" s="3">
        <f>ROUND((117.74*0.498)+(115.9*0.502),2)</f>
        <v>116.82</v>
      </c>
      <c r="J22" s="3">
        <f>ROUND((112.97*0.625)+(115.62*0.375),2)</f>
        <v>113.96</v>
      </c>
      <c r="K22" s="3">
        <f>ROUND((100.45*0.6403)+(101.86*0.3597),2)</f>
        <v>100.96</v>
      </c>
      <c r="L22" s="3">
        <f>ROUND((104.22*0.6548)+(106.94*0.3452),2)</f>
        <v>105.16</v>
      </c>
      <c r="M22" s="3">
        <f>ROUND((129.43*0.7754)+(120.59*0.2246),2)</f>
        <v>127.44</v>
      </c>
      <c r="N22" s="3">
        <f>ROUND((114.42*0.6505)+(114.58*0.3495),2)</f>
        <v>114.48</v>
      </c>
      <c r="O22" s="3">
        <f>ROUND((111.48*0.5887)+(110.74*0.4113),2)</f>
        <v>111.18</v>
      </c>
    </row>
    <row r="23" spans="1:15" x14ac:dyDescent="0.25">
      <c r="A23">
        <v>2018</v>
      </c>
      <c r="B23" s="2" t="s">
        <v>24</v>
      </c>
      <c r="C23" s="3">
        <f>ROUND((111.94*0.6015)+(109.95*0.3985),2)</f>
        <v>111.15</v>
      </c>
      <c r="D23" s="3">
        <f>ROUND((107.4*0.5291)+(105.98*0.4709),2)</f>
        <v>106.73</v>
      </c>
      <c r="E23" s="3">
        <f>ROUND((109.91*0.5021)+(95.94 *0.4979),2)</f>
        <v>102.95</v>
      </c>
      <c r="F23" s="3">
        <f>ROUND((111.89*0.5604)+(114.86*0.4396),2)</f>
        <v>113.2</v>
      </c>
      <c r="G23" s="3">
        <f>ROUND((113.78*0.6882)+(112.15*0.3118),2)</f>
        <v>113.27</v>
      </c>
      <c r="H23" s="3">
        <f>ROUND((108.02*0.6008)+(107.67*0.3992),2)</f>
        <v>107.88</v>
      </c>
      <c r="I23" s="3">
        <f>ROUND((118.48*0.498)+(116.05*0.502),2)</f>
        <v>117.26</v>
      </c>
      <c r="J23" s="3">
        <f>ROUND((111.96*0.625)+(114.53*0.375),2)</f>
        <v>112.92</v>
      </c>
      <c r="K23" s="3">
        <f>ROUND((100.52*0.6403)+(101.86*0.3597),2)</f>
        <v>101</v>
      </c>
      <c r="L23" s="3">
        <f>ROUND((107.12*0.6548)+(109.16*0.3452),2)</f>
        <v>107.82</v>
      </c>
      <c r="M23" s="3">
        <f>ROUND((132.57*0.7754)+(125.04*0.2246),2)</f>
        <v>130.88</v>
      </c>
      <c r="N23" s="3">
        <f>ROUND((114.83*0.6505)+(115.12*0.3495),2)</f>
        <v>114.93</v>
      </c>
      <c r="O23" s="3">
        <f>ROUND((112.95*0.5887)+(111.68*0.4113),2)</f>
        <v>112.43</v>
      </c>
    </row>
    <row r="24" spans="1:15" x14ac:dyDescent="0.25">
      <c r="A24">
        <v>2018</v>
      </c>
      <c r="B24" s="2" t="s">
        <v>25</v>
      </c>
      <c r="C24" s="3">
        <f>ROUND((112.53*0.6015)+(110.33*0.3985),2)</f>
        <v>111.65</v>
      </c>
      <c r="D24" s="3">
        <f>ROUND((108.12*0.5291)+(106.01*0.4709),2)</f>
        <v>107.13</v>
      </c>
      <c r="E24" s="3">
        <f>ROUND((110.03*0.5021)+(95.77 *0.4979),2)</f>
        <v>102.93</v>
      </c>
      <c r="F24" s="3">
        <f>ROUND((112.4*0.5604)+(116.18*0.4396),2)</f>
        <v>114.06</v>
      </c>
      <c r="G24" s="3">
        <f>ROUND((113.99*0.6882)+(112.43*0.3118),2)</f>
        <v>113.5</v>
      </c>
      <c r="H24" s="3">
        <f>ROUND((108.49*0.6008)+(108.64*0.3992),2)</f>
        <v>108.55</v>
      </c>
      <c r="I24" s="3">
        <f>ROUND((118.65*0.498)+(116.65*0.502),2)</f>
        <v>117.65</v>
      </c>
      <c r="J24" s="3">
        <f>ROUND((113.08*0.625)+(115.56*0.375),2)</f>
        <v>114.01</v>
      </c>
      <c r="K24" s="3">
        <f>ROUND((100.73*0.6403)+(101.86*0.3597),2)</f>
        <v>101.14</v>
      </c>
      <c r="L24" s="3">
        <f>ROUND((107.46*0.6548)+(109.7*0.3452),2)</f>
        <v>108.23</v>
      </c>
      <c r="M24" s="3">
        <f>ROUND((133.78*0.7754)+(125.43*0.2246),2)</f>
        <v>131.9</v>
      </c>
      <c r="N24" s="3">
        <f>ROUND((115.9*0.6505)+(115.96*0.3495),2)</f>
        <v>115.92</v>
      </c>
      <c r="O24" s="3">
        <f>ROUND((113.56*0.5887)+(111.71*0.4113),2)</f>
        <v>112.8</v>
      </c>
    </row>
    <row r="25" spans="1:15" x14ac:dyDescent="0.25">
      <c r="A25">
        <v>2018</v>
      </c>
      <c r="B25" s="2" t="s">
        <v>26</v>
      </c>
      <c r="C25" s="3">
        <f>ROUND((113.34*0.6015)+(111.44*0.3985),2)</f>
        <v>112.58</v>
      </c>
      <c r="D25" s="3">
        <f>ROUND((109.54*0.5291)+(107.54*0.4709),2)</f>
        <v>108.6</v>
      </c>
      <c r="E25" s="3">
        <f>ROUND((110.06*0.5021)+(95.72 *0.4979),2)</f>
        <v>102.92</v>
      </c>
      <c r="F25" s="3">
        <f>ROUND((112.73*0.5604)+(117.39*0.4396),2)</f>
        <v>114.78</v>
      </c>
      <c r="G25" s="3">
        <f>ROUND((114.46*0.6882)+(112.96*0.3118),2)</f>
        <v>113.99</v>
      </c>
      <c r="H25" s="3">
        <f>ROUND((108.71*0.6008)+(108.88*0.3992),2)</f>
        <v>108.78</v>
      </c>
      <c r="I25" s="3">
        <f>ROUND((118.75*0.498)+(116.67*0.502),2)</f>
        <v>117.71</v>
      </c>
      <c r="J25" s="3">
        <f>ROUND((116.14*0.625)+(118.14*0.375),2)</f>
        <v>116.89</v>
      </c>
      <c r="K25" s="3">
        <f>ROUND((100.73*0.6403)+(101.94*0.3597),2)</f>
        <v>101.17</v>
      </c>
      <c r="L25" s="3">
        <f>ROUND((107.55*0.6548)+(110.28*0.3452),2)</f>
        <v>108.49</v>
      </c>
      <c r="M25" s="3">
        <f>ROUND((133.81*0.7754)+(125.8*0.2246),2)</f>
        <v>132.01</v>
      </c>
      <c r="N25" s="3">
        <f>ROUND((115.96*0.6505)+(117.15*0.3495),2)</f>
        <v>116.38</v>
      </c>
      <c r="O25" s="3">
        <f>ROUND((113.88*0.5887)+(112.27*0.4113),2)</f>
        <v>113.22</v>
      </c>
    </row>
    <row r="26" spans="1:15" x14ac:dyDescent="0.25">
      <c r="A26">
        <v>2018</v>
      </c>
      <c r="B26" s="2" t="s">
        <v>15</v>
      </c>
      <c r="C26" s="3">
        <f>ROUND((114.94*0.6015)+(113.3*0.3985),2)</f>
        <v>114.29</v>
      </c>
      <c r="D26" s="3">
        <f>ROUND((110.31*0.5291)+(109.4*0.4709),2)</f>
        <v>109.88</v>
      </c>
      <c r="E26" s="3">
        <f>ROUND((110.34*0.5021)+(96.18 *0.4979),2)</f>
        <v>103.29</v>
      </c>
      <c r="F26" s="3">
        <f>ROUND((113.07*0.5604)+(117.87*0.4396),2)</f>
        <v>115.18</v>
      </c>
      <c r="G26" s="3">
        <f>ROUND((117.91*0.6882)+(117.59*0.3118),2)</f>
        <v>117.81</v>
      </c>
      <c r="H26" s="3">
        <f>ROUND((108.89*0.6008)+(109.14*0.3992),2)</f>
        <v>108.99</v>
      </c>
      <c r="I26" s="3">
        <f>ROUND((119.2*0.498)+(117*0.502),2)</f>
        <v>118.1</v>
      </c>
      <c r="J26" s="3">
        <f>ROUND((120.62*0.625)+(120.91*0.375),2)</f>
        <v>120.73</v>
      </c>
      <c r="K26" s="3">
        <f>ROUND((102.02*0.6403)+(102.37*0.3597),2)</f>
        <v>102.15</v>
      </c>
      <c r="L26" s="3">
        <f>ROUND((107.94*0.6548)+(110.4*0.3452),2)</f>
        <v>108.79</v>
      </c>
      <c r="M26" s="3">
        <f>ROUND((133.75*0.7754)+(125.8*0.2246),2)</f>
        <v>131.96</v>
      </c>
      <c r="N26" s="3">
        <f>ROUND((116.34*0.6505)+(117.01*0.3495),2)</f>
        <v>116.57</v>
      </c>
      <c r="O26" s="3">
        <f>ROUND((114.83*0.5887)+(112.71*0.4113),2)</f>
        <v>113.96</v>
      </c>
    </row>
    <row r="27" spans="1:15" x14ac:dyDescent="0.25">
      <c r="A27">
        <v>2018</v>
      </c>
      <c r="B27" s="2" t="s">
        <v>16</v>
      </c>
      <c r="C27" s="3">
        <f>ROUND((114.58*0.6015)+(112.96*0.3985),2)</f>
        <v>113.93</v>
      </c>
      <c r="D27" s="3">
        <f>ROUND((109.39*0.5291)+(109.07*0.4709),2)</f>
        <v>109.24</v>
      </c>
      <c r="E27" s="3">
        <f>ROUND((110.48*0.5021)+(95.86 *0.4979),2)</f>
        <v>103.2</v>
      </c>
      <c r="F27" s="3">
        <f>ROUND((113.11*0.5604)+(118.02*0.4396),2)</f>
        <v>115.27</v>
      </c>
      <c r="G27" s="3">
        <f>ROUND((117.08*0.6882)+(116.12*0.3118),2)</f>
        <v>116.78</v>
      </c>
      <c r="H27" s="3">
        <f>ROUND((109.44*0.6008)+(109.57*0.3992),2)</f>
        <v>109.49</v>
      </c>
      <c r="I27" s="3">
        <f>ROUND((119.97*0.498)+(117.42*0.502),2)</f>
        <v>118.69</v>
      </c>
      <c r="J27" s="3">
        <f>ROUND((121.29*0.625)+(121.16*0.375),2)</f>
        <v>121.24</v>
      </c>
      <c r="K27" s="3">
        <f>ROUND((102.18*0.6403)+(102.47*0.3597),2)</f>
        <v>102.28</v>
      </c>
      <c r="L27" s="3">
        <f>ROUND((108.14*0.6548)+(110.51*0.3452),2)</f>
        <v>108.96</v>
      </c>
      <c r="M27" s="3">
        <f>ROUND((133.75*0.7754)+(125.8*0.2246),2)</f>
        <v>131.96</v>
      </c>
      <c r="N27" s="3">
        <f>ROUND((117.3*0.6505)+(117.35*0.3495),2)</f>
        <v>117.32</v>
      </c>
      <c r="O27" s="3">
        <f>ROUND((114.58*0.5887)+(112.3*0.4113),2)</f>
        <v>113.64</v>
      </c>
    </row>
    <row r="28" spans="1:15" x14ac:dyDescent="0.25">
      <c r="A28">
        <v>2018</v>
      </c>
      <c r="B28" s="2" t="s">
        <v>17</v>
      </c>
      <c r="C28" s="3">
        <f>ROUND((114.49*0.6015)+(113.01*0.3985),2)</f>
        <v>113.9</v>
      </c>
      <c r="D28" s="3">
        <f>ROUND((108.27*0.5291)+(108.66*0.4709),2)</f>
        <v>108.45</v>
      </c>
      <c r="E28" s="3">
        <f>ROUND((110.51*0.5021)+(96.42 *0.4979),2)</f>
        <v>103.49</v>
      </c>
      <c r="F28" s="3">
        <f>ROUND((113.67*0.5604)+(118.23*0.4396),2)</f>
        <v>115.67</v>
      </c>
      <c r="G28" s="3">
        <f>ROUND((117.19*0.6882)+(116.8*0.3118),2)</f>
        <v>117.07</v>
      </c>
      <c r="H28" s="3">
        <f>ROUND((110.04*0.6008)+(110.28*0.3992),2)</f>
        <v>110.14</v>
      </c>
      <c r="I28" s="3">
        <f>ROUND((121.13*0.498)+(117.89*0.502),2)</f>
        <v>119.5</v>
      </c>
      <c r="J28" s="3">
        <f>ROUND((120*0.625)+(120.28*0.375),2)</f>
        <v>120.11</v>
      </c>
      <c r="K28" s="3">
        <f>ROUND((102.18*0.6403)+(102.5*0.3597),2)</f>
        <v>102.3</v>
      </c>
      <c r="L28" s="3">
        <f>ROUND((108.25*0.6548)+(110.83*0.3452),2)</f>
        <v>109.14</v>
      </c>
      <c r="M28" s="3">
        <f>ROUND((135.48*0.7754)+(125.8*0.2246),2)</f>
        <v>133.31</v>
      </c>
      <c r="N28" s="3">
        <f>ROUND((118.08*0.6505)+(117.51*0.3495),2)</f>
        <v>117.88</v>
      </c>
      <c r="O28" s="3">
        <f>ROUND((115.78*0.5887)+(113.46*0.4113),2)</f>
        <v>114.83</v>
      </c>
    </row>
    <row r="29" spans="1:15" x14ac:dyDescent="0.25">
      <c r="A29">
        <v>2018</v>
      </c>
      <c r="B29" s="2" t="s">
        <v>18</v>
      </c>
      <c r="C29" s="3">
        <f>ROUND((117.04*0.6015)+(115.23*0.3985),2)</f>
        <v>116.32</v>
      </c>
      <c r="D29" s="3">
        <f>ROUND((111.37*0.5291)+(112.02*0.4709),2)</f>
        <v>111.68</v>
      </c>
      <c r="E29" s="3">
        <f>ROUND((120.24*0.5021)+(104.01*0.4979),2)</f>
        <v>112.16</v>
      </c>
      <c r="F29" s="3">
        <f>ROUND((113.87*0.5604)+(118.53*0.4396),2)</f>
        <v>115.92</v>
      </c>
      <c r="G29" s="3">
        <f>ROUND((121.4*0.6882)+(119.21*0.3118),2)</f>
        <v>120.72</v>
      </c>
      <c r="H29" s="3">
        <f>ROUND((111.73*0.6008)+(110.96*0.3992),2)</f>
        <v>111.42</v>
      </c>
      <c r="I29" s="3">
        <f>ROUND((121.98*0.498)+(118.55*0.502),2)</f>
        <v>120.26</v>
      </c>
      <c r="J29" s="3">
        <f>ROUND((121.68*0.625)+(122.14*0.375),2)</f>
        <v>121.85</v>
      </c>
      <c r="K29" s="3">
        <f>ROUND((102.66*0.6403)+(102.53*0.3597),2)</f>
        <v>102.61</v>
      </c>
      <c r="L29" s="3">
        <f>ROUND((109.57*0.6548)+(111.52*0.3452),2)</f>
        <v>110.24</v>
      </c>
      <c r="M29" s="3">
        <f>ROUND((135.99*0.7754)+(125.8*0.2246),2)</f>
        <v>133.69999999999999</v>
      </c>
      <c r="N29" s="3">
        <f>ROUND((118.51*0.6505)+(117.98*0.3495),2)</f>
        <v>118.32</v>
      </c>
      <c r="O29" s="3">
        <f>ROUND((117.46*0.5887)+(115.04*0.4113),2)</f>
        <v>116.46</v>
      </c>
    </row>
    <row r="30" spans="1:15" x14ac:dyDescent="0.25">
      <c r="A30">
        <v>2018</v>
      </c>
      <c r="B30" s="2" t="s">
        <v>19</v>
      </c>
      <c r="C30" s="3">
        <f>ROUND((116.94*0.6015)+(115.03*0.3985),2)</f>
        <v>116.18</v>
      </c>
      <c r="D30" s="3">
        <f>ROUND((111.05*0.5291)+(111*0.4709),2)</f>
        <v>111.03</v>
      </c>
      <c r="E30" s="3">
        <f>ROUND((122.22*0.5021)+(105.99*0.4979),2)</f>
        <v>114.14</v>
      </c>
      <c r="F30" s="3">
        <f>ROUND((114.83*0.5604)+(119.72*0.4396),2)</f>
        <v>116.98</v>
      </c>
      <c r="G30" s="3">
        <f>ROUND((119.68*0.6882)+(117.34*0.3118),2)</f>
        <v>118.95</v>
      </c>
      <c r="H30" s="3">
        <f>ROUND((113.01*0.6008)+(112.51*0.3992),2)</f>
        <v>112.81</v>
      </c>
      <c r="I30" s="3">
        <f>ROUND((123.37*0.498)+(120.8*0.502),2)</f>
        <v>122.08</v>
      </c>
      <c r="J30" s="3">
        <f>ROUND((124.87*0.625)+(125.47*0.375),2)</f>
        <v>125.1</v>
      </c>
      <c r="K30" s="3">
        <f>ROUND((102.71*0.6403)+(102.72*0.3597),2)</f>
        <v>102.71</v>
      </c>
      <c r="L30" s="3">
        <f>ROUND((110*0.6548)+(113.14*0.3452),2)</f>
        <v>111.08</v>
      </c>
      <c r="M30" s="3">
        <f>ROUND((136.01*0.7754)+(125.8*0.2246),2)</f>
        <v>133.72</v>
      </c>
      <c r="N30" s="3">
        <f>ROUND((118.72*0.6505)+(118.4*0.3495),2)</f>
        <v>118.61</v>
      </c>
      <c r="O30" s="3">
        <f>ROUND((118.8*0.5887)+(115.9*0.4113),2)</f>
        <v>117.61</v>
      </c>
    </row>
    <row r="31" spans="1:15" x14ac:dyDescent="0.25">
      <c r="A31">
        <v>2018</v>
      </c>
      <c r="B31" s="2" t="s">
        <v>20</v>
      </c>
      <c r="C31" s="3">
        <f>ROUND((116.57*0.6015)+(114.7*0.3985),2)</f>
        <v>115.82</v>
      </c>
      <c r="D31" s="3">
        <f>ROUND((108.58*0.5291)+(109.2*0.4709),2)</f>
        <v>108.87</v>
      </c>
      <c r="E31" s="3">
        <f>ROUND((122.42*0.5021)+(106.62*0.4979),2)</f>
        <v>114.55</v>
      </c>
      <c r="F31" s="3">
        <f>ROUND((115.1*0.5604)+(119.89*0.4396),2)</f>
        <v>117.21</v>
      </c>
      <c r="G31" s="3">
        <f>ROUND((120.34*0.6882)+(118.23*0.3118),2)</f>
        <v>119.68</v>
      </c>
      <c r="H31" s="3">
        <f>ROUND((114.05*0.6008)+(113.52*0.3992),2)</f>
        <v>113.84</v>
      </c>
      <c r="I31" s="3">
        <f>ROUND((123.63*0.498)+(121.84*0.502),2)</f>
        <v>122.73</v>
      </c>
      <c r="J31" s="3">
        <f>ROUND((125.44*0.625)+(125.65*0.375),2)</f>
        <v>125.52</v>
      </c>
      <c r="K31" s="3">
        <f>ROUND((102.76*0.6403)+(102.95*0.3597),2)</f>
        <v>102.83</v>
      </c>
      <c r="L31" s="3">
        <f>ROUND((110.19*0.6548)+(113.22*0.3452),2)</f>
        <v>111.24</v>
      </c>
      <c r="M31" s="3">
        <f>ROUND((136.09*0.7754)+(126.26*0.2246),2)</f>
        <v>133.88</v>
      </c>
      <c r="N31" s="3">
        <f>ROUND((119.1*0.6505)+(118.87*0.3495),2)</f>
        <v>119.02</v>
      </c>
      <c r="O31" s="3">
        <f>ROUND((120.07*0.5887)+(117.55*0.4113),2)</f>
        <v>119.03</v>
      </c>
    </row>
    <row r="32" spans="1:15" x14ac:dyDescent="0.25">
      <c r="A32">
        <v>2019</v>
      </c>
      <c r="B32" s="2" t="s">
        <v>21</v>
      </c>
      <c r="C32" s="3">
        <f>ROUND((117.07*0.6015)+(114.68*0.3985),2)</f>
        <v>116.12</v>
      </c>
      <c r="D32" s="3">
        <f>ROUND((108.92*0.5291)+(109.1*0.4709),2)</f>
        <v>109</v>
      </c>
      <c r="E32" s="3">
        <f>ROUND((122.68*0.5021)+(107.81*0.4979),2)</f>
        <v>115.28</v>
      </c>
      <c r="F32" s="3">
        <f>ROUND((116.62*0.5604)+(120.79*0.4396),2)</f>
        <v>118.45</v>
      </c>
      <c r="G32" s="3">
        <f>ROUND((121.83*0.6882)+(118.45*0.3118),2)</f>
        <v>120.78</v>
      </c>
      <c r="H32" s="3">
        <f>ROUND((114.93*0.6008)+(114.29*0.3992),2)</f>
        <v>114.67</v>
      </c>
      <c r="I32" s="3">
        <f>ROUND((123.71*0.498)+(122.11*0.502),2)</f>
        <v>122.91</v>
      </c>
      <c r="J32" s="3">
        <f>ROUND((122.55*0.625)+(122.32*0.375),2)</f>
        <v>122.46</v>
      </c>
      <c r="K32" s="3">
        <f>ROUND((102.76*0.6403)+(102.98*0.3597),2)</f>
        <v>102.84</v>
      </c>
      <c r="L32" s="3">
        <f>ROUND((110.53*0.6548)+(113.74*0.3452),2)</f>
        <v>111.64</v>
      </c>
      <c r="M32" s="3">
        <f>ROUND((134.64*0.7754)+(124.26*0.2246),2)</f>
        <v>132.31</v>
      </c>
      <c r="N32" s="3">
        <f>ROUND((119.55*0.6505)+(119.22*0.3495),2)</f>
        <v>119.43</v>
      </c>
      <c r="O32" s="3">
        <f>ROUND((120.88*0.5887)+(118.39*0.4113),2)</f>
        <v>119.86</v>
      </c>
    </row>
    <row r="33" spans="1:15" x14ac:dyDescent="0.25">
      <c r="A33">
        <v>2019</v>
      </c>
      <c r="B33" s="2" t="s">
        <v>22</v>
      </c>
      <c r="C33" s="3">
        <f>ROUND((118.08*0.6015)+(115.68*0.3985),2)</f>
        <v>117.12</v>
      </c>
      <c r="D33" s="3">
        <f>ROUND((111.94*0.5291)+(111.23*0.4709),2)</f>
        <v>111.61</v>
      </c>
      <c r="E33" s="3">
        <f>ROUND((121.97*0.5021)+(108.06*0.4979),2)</f>
        <v>115.04</v>
      </c>
      <c r="F33" s="3">
        <f>ROUND((116.65*0.5604)+(121.23*0.4396),2)</f>
        <v>118.66</v>
      </c>
      <c r="G33" s="3">
        <f>ROUND((121.89*0.6882)+(118.6*0.3118),2)</f>
        <v>120.86</v>
      </c>
      <c r="H33" s="3">
        <f>ROUND((115.99*0.6008)+(114.82*0.3992),2)</f>
        <v>115.52</v>
      </c>
      <c r="I33" s="3">
        <f>ROUND((123.86*0.498)+(122.64*0.502),2)</f>
        <v>123.25</v>
      </c>
      <c r="J33" s="3">
        <f>ROUND((122.22*0.625)+(122.08*0.375),2)</f>
        <v>122.17</v>
      </c>
      <c r="K33" s="3">
        <f>ROUND((102.82*0.6403)+(103.06*0.3597),2)</f>
        <v>102.91</v>
      </c>
      <c r="L33" s="3">
        <f>ROUND((110.59*0.6548)+(113.84*0.3452),2)</f>
        <v>111.71</v>
      </c>
      <c r="M33" s="3">
        <f>ROUND((134.63*0.7754)+(124.26*0.2246),2)</f>
        <v>132.30000000000001</v>
      </c>
      <c r="N33" s="3">
        <f>ROUND((119.62*0.6505)+(119.3*0.3495),2)</f>
        <v>119.51</v>
      </c>
      <c r="O33" s="3">
        <f>ROUND((121.88*0.5887)+(118.85*0.4113),2)</f>
        <v>120.63</v>
      </c>
    </row>
    <row r="34" spans="1:15" x14ac:dyDescent="0.25">
      <c r="A34">
        <v>2019</v>
      </c>
      <c r="B34" s="2" t="s">
        <v>23</v>
      </c>
      <c r="C34" s="3">
        <f>ROUND((120.29*0.6015)+(118.21*0.3985),2)</f>
        <v>119.46</v>
      </c>
      <c r="D34" s="3">
        <f>ROUND((115.15*0.5291)+(115.37*0.4709),2)</f>
        <v>115.25</v>
      </c>
      <c r="E34" s="3">
        <f>ROUND((121.9*0.5021)+(108.12*0.4979),2)</f>
        <v>115.04</v>
      </c>
      <c r="F34" s="3">
        <f>ROUND((118*0.5604)+(121.64*0.4396),2)</f>
        <v>119.6</v>
      </c>
      <c r="G34" s="3">
        <f>ROUND((124.13*0.6882)+(120.91*0.3118),2)</f>
        <v>123.13</v>
      </c>
      <c r="H34" s="3">
        <f>ROUND((116.72*0.6008)+(115.17*0.3992),2)</f>
        <v>116.1</v>
      </c>
      <c r="I34" s="3">
        <f>ROUND((124.41*0.498)+(123.88*0.502),2)</f>
        <v>124.14</v>
      </c>
      <c r="J34" s="3">
        <f>ROUND((124.65*0.625)+(125.23*0.375),2)</f>
        <v>124.87</v>
      </c>
      <c r="K34" s="3">
        <f>ROUND((102.95*0.6403)+(103.06*0.3597),2)</f>
        <v>102.99</v>
      </c>
      <c r="L34" s="3">
        <f>ROUND((111.73*0.6548)+(115*0.3452),2)</f>
        <v>112.86</v>
      </c>
      <c r="M34" s="3">
        <f>ROUND((138.71*0.7754)+(127.74*0.2246),2)</f>
        <v>136.25</v>
      </c>
      <c r="N34" s="3">
        <f>ROUND((120.64*0.6505)+(119.46*0.3495),2)</f>
        <v>120.23</v>
      </c>
      <c r="O34" s="3">
        <f>ROUND((122.65*0.5887)+(119.61*0.4113),2)</f>
        <v>121.4</v>
      </c>
    </row>
    <row r="35" spans="1:15" x14ac:dyDescent="0.25">
      <c r="A35">
        <v>2019</v>
      </c>
      <c r="B35" s="2" t="s">
        <v>24</v>
      </c>
      <c r="C35" s="3">
        <f>ROUND((121.29*0.6015)+(118.89*0.3985),2)</f>
        <v>120.33</v>
      </c>
      <c r="D35" s="3">
        <f>ROUND((116.77*0.5291)+(116*0.4709),2)</f>
        <v>116.41</v>
      </c>
      <c r="E35" s="3">
        <f>ROUND((121.92*0.5021)+(108.07*0.4979),2)</f>
        <v>115.02</v>
      </c>
      <c r="F35" s="3">
        <f>ROUND((118.4*0.5604)+(123.03*0.4396),2)</f>
        <v>120.44</v>
      </c>
      <c r="G35" s="3">
        <f>ROUND((123.74*0.6882)+(119.6*0.3118),2)</f>
        <v>122.45</v>
      </c>
      <c r="H35" s="3">
        <f>ROUND((118.62*0.6008)+(116.25*0.3992),2)</f>
        <v>117.67</v>
      </c>
      <c r="I35" s="3">
        <f>ROUND((127.56*0.498)+(125.94*0.502),2)</f>
        <v>126.75</v>
      </c>
      <c r="J35" s="3">
        <f>ROUND((128.18*0.625)+(128.84*0.375),2)</f>
        <v>128.43</v>
      </c>
      <c r="K35" s="3">
        <f>ROUND((105.83*0.6403)+(103.9*0.3597),2)</f>
        <v>105.14</v>
      </c>
      <c r="L35" s="3">
        <f>ROUND((112.59*0.6548)+(116.51*0.3452),2)</f>
        <v>113.94</v>
      </c>
      <c r="M35" s="3">
        <f>ROUND((140.18*0.7754)+(130.2*0.2246),2)</f>
        <v>137.94</v>
      </c>
      <c r="N35" s="3">
        <f>ROUND((120.85*0.6505)+(120.22*0.3495),2)</f>
        <v>120.63</v>
      </c>
      <c r="O35" s="3">
        <f>ROUND((123.44*0.5887)+(121.03*0.4113),2)</f>
        <v>122.45</v>
      </c>
    </row>
    <row r="36" spans="1:15" x14ac:dyDescent="0.25">
      <c r="A36">
        <v>2019</v>
      </c>
      <c r="B36" s="2" t="s">
        <v>25</v>
      </c>
      <c r="C36" s="3">
        <f>ROUND((122.11*0.6015)+(119.45*0.3985),2)</f>
        <v>121.05</v>
      </c>
      <c r="D36" s="3">
        <f>ROUND((118.58*0.5291)+(116.75*0.4709),2)</f>
        <v>117.72</v>
      </c>
      <c r="E36" s="3">
        <f>ROUND((121.92*0.5021)+(108.46*0.4979),2)</f>
        <v>115.22</v>
      </c>
      <c r="F36" s="3">
        <f>ROUND((120.26*0.5604)+(124.16*0.4396),2)</f>
        <v>121.97</v>
      </c>
      <c r="G36" s="3">
        <f>ROUND((122.23*0.6882)+(118.05*0.3118),2)</f>
        <v>120.93</v>
      </c>
      <c r="H36" s="3">
        <f>ROUND((119.56*0.6008)+(116.73*0.3992),2)</f>
        <v>118.43</v>
      </c>
      <c r="I36" s="3">
        <f>ROUND((128.7*0.498)+(127*0.502),2)</f>
        <v>127.85</v>
      </c>
      <c r="J36" s="3">
        <f>ROUND((133.61*0.625)+(135.43*0.375),2)</f>
        <v>134.29</v>
      </c>
      <c r="K36" s="3">
        <f>ROUND((105.92*0.6403)+(103.99*0.3597),2)</f>
        <v>105.23</v>
      </c>
      <c r="L36" s="3">
        <f>ROUND((112.91*0.6548)+(116.7*0.3452),2)</f>
        <v>114.22</v>
      </c>
      <c r="M36" s="3">
        <f>ROUND((142.32*0.7754)+(130.38*0.2246),2)</f>
        <v>139.63999999999999</v>
      </c>
      <c r="N36" s="3">
        <f>ROUND((121.07*0.6505)+(120.18*0.3495),2)</f>
        <v>120.76</v>
      </c>
      <c r="O36" s="3">
        <f>ROUND((123.55*0.5887)+(121.03*0.4113),2)</f>
        <v>122.51</v>
      </c>
    </row>
    <row r="37" spans="1:15" x14ac:dyDescent="0.25">
      <c r="A37">
        <v>2019</v>
      </c>
      <c r="B37" s="2" t="s">
        <v>26</v>
      </c>
      <c r="C37" s="3">
        <f>ROUND((122.52*0.6015)+(120.29*0.3985),2)</f>
        <v>121.63</v>
      </c>
      <c r="D37" s="3">
        <f>ROUND((117.97*0.5291)+(117.5*0.4709),2)</f>
        <v>117.75</v>
      </c>
      <c r="E37" s="3">
        <f>ROUND((128.03*0.5021)+(113.35*0.4979),2)</f>
        <v>120.72</v>
      </c>
      <c r="F37" s="3">
        <f>ROUND((120.36*0.5604)+(124.43*0.4396),2)</f>
        <v>122.15</v>
      </c>
      <c r="G37" s="3">
        <f>ROUND((123.14*0.6882)+(118.9*0.3118),2)</f>
        <v>121.82</v>
      </c>
      <c r="H37" s="3">
        <f>ROUND((120.09*0.6008)+(117.14*0.3992),2)</f>
        <v>118.91</v>
      </c>
      <c r="I37" s="3">
        <f>ROUND((129.42*0.498)+(128.08*0.502),2)</f>
        <v>128.75</v>
      </c>
      <c r="J37" s="3">
        <f>ROUND((136.3*0.625)+(138.09*0.375),2)</f>
        <v>136.97</v>
      </c>
      <c r="K37" s="3">
        <f>ROUND((105.98*0.6403)+(104.11*0.3597),2)</f>
        <v>105.31</v>
      </c>
      <c r="L37" s="3">
        <f>ROUND((113.29*0.6548)+(116.77*0.3452),2)</f>
        <v>114.49</v>
      </c>
      <c r="M37" s="3">
        <f>ROUND((142.32*0.7754)+(130.38*0.2246),2)</f>
        <v>139.63999999999999</v>
      </c>
      <c r="N37" s="3">
        <f>ROUND((121.23*0.6505)+(120.54*0.3495),2)</f>
        <v>120.99</v>
      </c>
      <c r="O37" s="3">
        <f>ROUND((124.94*0.5887)+(122.34*0.4113),2)</f>
        <v>123.87</v>
      </c>
    </row>
    <row r="38" spans="1:15" x14ac:dyDescent="0.25">
      <c r="A38">
        <v>2019</v>
      </c>
      <c r="B38" s="2" t="s">
        <v>15</v>
      </c>
      <c r="C38" s="3">
        <f>ROUND((124.95*0.6015)+(122.22*0.3985),2)</f>
        <v>123.86</v>
      </c>
      <c r="D38" s="3">
        <f>ROUND((118.77*0.5291)+(119.15*0.4709),2)</f>
        <v>118.95</v>
      </c>
      <c r="E38" s="3">
        <f>ROUND((141.67*0.5021)+(125.43*0.4979),2)</f>
        <v>133.58000000000001</v>
      </c>
      <c r="F38" s="3">
        <f>ROUND((121.6*0.5604)+(126.75*0.4396),2)</f>
        <v>123.86</v>
      </c>
      <c r="G38" s="3">
        <f>ROUND((127.2*0.6882)+(119.99*0.3118),2)</f>
        <v>124.95</v>
      </c>
      <c r="H38" s="3">
        <f>ROUND((122.28*0.6008)+(119.09*0.3992),2)</f>
        <v>121.01</v>
      </c>
      <c r="I38" s="3">
        <f>ROUND((133.63*0.498)+(129.98*0.502),2)</f>
        <v>131.80000000000001</v>
      </c>
      <c r="J38" s="3">
        <f>ROUND((141.72*0.625)+(139.88*0.375),2)</f>
        <v>141.03</v>
      </c>
      <c r="K38" s="3">
        <f>ROUND((107.8*0.6403)+(104.43*0.3597),2)</f>
        <v>106.59</v>
      </c>
      <c r="L38" s="3">
        <f>ROUND((115.31*0.6548)+(118.92*0.3452),2)</f>
        <v>116.56</v>
      </c>
      <c r="M38" s="3">
        <f>ROUND((143.47*0.7754)+(131.93*0.2246),2)</f>
        <v>140.88</v>
      </c>
      <c r="N38" s="3">
        <f>ROUND((122.67*0.6505)+(124.47*0.3495),2)</f>
        <v>123.3</v>
      </c>
      <c r="O38" s="3">
        <f>ROUND((127.23*0.5887)+(124.79*0.4113),2)</f>
        <v>126.23</v>
      </c>
    </row>
    <row r="39" spans="1:15" x14ac:dyDescent="0.25">
      <c r="A39">
        <v>2019</v>
      </c>
      <c r="B39" s="2" t="s">
        <v>16</v>
      </c>
      <c r="C39" s="3">
        <f>ROUND((126.77*0.6015)+(124.56*0.3985),2)</f>
        <v>125.89</v>
      </c>
      <c r="D39" s="3">
        <f>ROUND((123.19*0.5291)+(122.83*0.4709),2)</f>
        <v>123.02</v>
      </c>
      <c r="E39" s="3">
        <f>ROUND((141.93*0.5021)+(125.83*0.4979),2)</f>
        <v>133.91</v>
      </c>
      <c r="F39" s="3">
        <f>ROUND((123.36*0.5604)+(128.27*0.4396),2)</f>
        <v>125.52</v>
      </c>
      <c r="G39" s="3">
        <f>ROUND((127.15*0.6882)+(120.36*0.3118),2)</f>
        <v>125.03</v>
      </c>
      <c r="H39" s="3">
        <f>ROUND((123.05*0.6008)+(120.77*0.3992),2)</f>
        <v>122.14</v>
      </c>
      <c r="I39" s="3">
        <f>ROUND((133.97*0.498)+(131.74*0.502),2)</f>
        <v>132.85</v>
      </c>
      <c r="J39" s="3">
        <f>ROUND((144.36*0.625)+(142.48*0.375),2)</f>
        <v>143.66</v>
      </c>
      <c r="K39" s="3">
        <f>ROUND((107.84*0.6403)+(104.6*0.3597),2)</f>
        <v>106.67</v>
      </c>
      <c r="L39" s="3">
        <f>ROUND((116.23*0.6548)+(119.33*0.3452),2)</f>
        <v>117.3</v>
      </c>
      <c r="M39" s="3">
        <f>ROUND((143.62*0.7754)+(132.5*0.2246),2)</f>
        <v>141.12</v>
      </c>
      <c r="N39" s="3">
        <f>ROUND((123.22*0.6505)+(126.91*0.3495),2)</f>
        <v>124.51</v>
      </c>
      <c r="O39" s="3">
        <f>ROUND((128.97*0.5887)+(128.13*0.4113),2)</f>
        <v>128.62</v>
      </c>
    </row>
    <row r="40" spans="1:15" x14ac:dyDescent="0.25">
      <c r="A40">
        <v>2019</v>
      </c>
      <c r="B40" s="2" t="s">
        <v>17</v>
      </c>
      <c r="C40" s="3">
        <f>ROUND((127.72*0.6015)+(125.55*0.3985),2)</f>
        <v>126.86</v>
      </c>
      <c r="D40" s="3">
        <f>ROUND((125.97*0.5291)+(125.24*0.4709),2)</f>
        <v>125.63</v>
      </c>
      <c r="E40" s="3">
        <f>ROUND((142.24*0.5021)+(126.72*0.4979),2)</f>
        <v>134.51</v>
      </c>
      <c r="F40" s="3">
        <f>ROUND((123.86*0.5604)+(128.76*0.4396),2)</f>
        <v>126.01</v>
      </c>
      <c r="G40" s="3">
        <f>ROUND((126.98*0.6882)+(120.06*0.3118),2)</f>
        <v>124.82</v>
      </c>
      <c r="H40" s="3">
        <f>ROUND((123.78*0.6008)+(121.91*0.3992),2)</f>
        <v>123.03</v>
      </c>
      <c r="I40" s="3">
        <f>ROUND((134.58*0.498)+(132.33*0.502),2)</f>
        <v>133.44999999999999</v>
      </c>
      <c r="J40" s="3">
        <f>ROUND((142.32*0.625)+(139.97*0.375),2)</f>
        <v>141.44</v>
      </c>
      <c r="K40" s="3">
        <f>ROUND((107.88*0.6403)+(104.6*0.3597),2)</f>
        <v>106.7</v>
      </c>
      <c r="L40" s="3">
        <f>ROUND((116.63*0.6548)+(119.71*0.3452),2)</f>
        <v>117.69</v>
      </c>
      <c r="M40" s="3">
        <f>ROUND((144.16*0.7754)+(132.5*0.2246),2)</f>
        <v>141.54</v>
      </c>
      <c r="N40" s="3">
        <f>ROUND((124.01*0.6505)+(127.06*0.3495),2)</f>
        <v>125.08</v>
      </c>
      <c r="O40" s="3">
        <f>ROUND((130.9*0.5887)+(129.24*0.4113),2)</f>
        <v>130.22</v>
      </c>
    </row>
    <row r="41" spans="1:15" x14ac:dyDescent="0.25">
      <c r="A41">
        <v>2019</v>
      </c>
      <c r="B41" s="2" t="s">
        <v>18</v>
      </c>
      <c r="C41" s="3">
        <f>ROUND((129.75*0.6015)+(128.28*0.3985),2)</f>
        <v>129.16</v>
      </c>
      <c r="D41" s="3">
        <f>ROUND((128.09*0.5291)+(128.88*0.4709),2)</f>
        <v>128.46</v>
      </c>
      <c r="E41" s="3">
        <f>ROUND((142.53*0.5021)+(127.34*0.4979),2)</f>
        <v>134.97</v>
      </c>
      <c r="F41" s="3">
        <f>ROUND((124.17*0.5604)+(129.97*0.4396),2)</f>
        <v>126.72</v>
      </c>
      <c r="G41" s="3">
        <f>ROUND((131.37*0.6882)+(125*0.3118),2)</f>
        <v>129.38</v>
      </c>
      <c r="H41" s="3">
        <f>ROUND((124.64*0.6008)+(123.02*0.3992),2)</f>
        <v>123.99</v>
      </c>
      <c r="I41" s="3">
        <f>ROUND((135.68*0.498)+(134.07*0.502),2)</f>
        <v>134.87</v>
      </c>
      <c r="J41" s="3">
        <f>ROUND((142.96*0.625)+(140.13*0.375),2)</f>
        <v>141.9</v>
      </c>
      <c r="K41" s="3">
        <f>ROUND((107.96*0.6403)+(104.53*0.3597),2)</f>
        <v>106.73</v>
      </c>
      <c r="L41" s="3">
        <f>ROUND((116.89*0.6548)+(121.4*0.3452),2)</f>
        <v>118.45</v>
      </c>
      <c r="M41" s="3">
        <f>ROUND((144.43*0.7754)+(132.5*0.2246),2)</f>
        <v>141.75</v>
      </c>
      <c r="N41" s="3">
        <f>ROUND((124.31*0.6505)+(127.47*0.3495),2)</f>
        <v>125.41</v>
      </c>
      <c r="O41" s="3">
        <f>ROUND((131.58*0.5887)+(130.2*0.4113),2)</f>
        <v>131.01</v>
      </c>
    </row>
    <row r="42" spans="1:15" x14ac:dyDescent="0.25">
      <c r="A42">
        <v>2019</v>
      </c>
      <c r="B42" s="2" t="s">
        <v>19</v>
      </c>
      <c r="C42" s="3">
        <f>ROUND((131.05*0.6015)+(130.67*0.3985),2)</f>
        <v>130.9</v>
      </c>
      <c r="D42" s="3">
        <f>ROUND((131.67*0.5291)+(133.58*0.4709),2)</f>
        <v>132.57</v>
      </c>
      <c r="E42" s="3">
        <f>ROUND((142.63*0.5021)+(128.2*0.4979),2)</f>
        <v>135.44999999999999</v>
      </c>
      <c r="F42" s="3">
        <f>ROUND((125.23*0.5604)+(131.4*0.4396),2)</f>
        <v>127.94</v>
      </c>
      <c r="G42" s="3">
        <f>ROUND((131.21*0.6882)+(125.49*0.3118),2)</f>
        <v>129.43</v>
      </c>
      <c r="H42" s="3">
        <f>ROUND((125.7*0.6008)+(124.04*0.3992),2)</f>
        <v>125.04</v>
      </c>
      <c r="I42" s="3">
        <f>ROUND((136.36*0.498)+(135.62*0.502),2)</f>
        <v>135.99</v>
      </c>
      <c r="J42" s="3">
        <f>ROUND((143.6*0.625)+(140.8*0.375),2)</f>
        <v>142.55000000000001</v>
      </c>
      <c r="K42" s="3">
        <f>ROUND((107.98*0.6403)+(104.63*0.3597),2)</f>
        <v>106.78</v>
      </c>
      <c r="L42" s="3">
        <f>ROUND((117.14*0.6548)+(121.48*0.3452),2)</f>
        <v>118.64</v>
      </c>
      <c r="M42" s="3">
        <f>ROUND((144.63*0.7754)+(132.5*0.2246),2)</f>
        <v>141.91</v>
      </c>
      <c r="N42" s="3">
        <f>ROUND((124.95*0.6505)+(128.42*0.3495),2)</f>
        <v>126.16</v>
      </c>
      <c r="O42" s="3">
        <f>ROUND((131.88*0.5887)+(130.9*0.4113),2)</f>
        <v>131.47999999999999</v>
      </c>
    </row>
    <row r="43" spans="1:15" x14ac:dyDescent="0.25">
      <c r="A43">
        <v>2019</v>
      </c>
      <c r="B43" s="2" t="s">
        <v>20</v>
      </c>
      <c r="C43" s="3">
        <f>ROUND((130.57*0.6015)+(130.28*0.3985),2)</f>
        <v>130.44999999999999</v>
      </c>
      <c r="D43" s="3">
        <f>ROUND((128.95*0.5291)+(131.96*0.4709),2)</f>
        <v>130.37</v>
      </c>
      <c r="E43" s="3">
        <f>ROUND((142.7*0.5021)+(128.2*0.4979),2)</f>
        <v>135.47999999999999</v>
      </c>
      <c r="F43" s="3">
        <f>ROUND((126.1*0.5604)+(131.72*0.4396),2)</f>
        <v>128.57</v>
      </c>
      <c r="G43" s="3">
        <f>ROUND((131.62*0.6882)+(126.06*0.3118),2)</f>
        <v>129.88999999999999</v>
      </c>
      <c r="H43" s="3">
        <f>ROUND((126.59*0.6008)+(124.41*0.3992),2)</f>
        <v>125.72</v>
      </c>
      <c r="I43" s="3">
        <f>ROUND((137.1*0.498)+(136.1*0.502),2)</f>
        <v>136.6</v>
      </c>
      <c r="J43" s="3">
        <f>ROUND((145.01*0.625)+(142.07*0.375),2)</f>
        <v>143.91</v>
      </c>
      <c r="K43" s="3">
        <f>ROUND((108.18*0.6403)+(104.67*0.3597),2)</f>
        <v>106.92</v>
      </c>
      <c r="L43" s="3">
        <f>ROUND((117.22*0.6548)+(121.71*0.3452),2)</f>
        <v>118.77</v>
      </c>
      <c r="M43" s="3">
        <f>ROUND((144.67*0.7754)+(132.56*0.2246),2)</f>
        <v>141.94999999999999</v>
      </c>
      <c r="N43" s="3">
        <f>ROUND((124.97*0.6505)+(128.68*0.3495),2)</f>
        <v>126.27</v>
      </c>
      <c r="O43" s="3">
        <f>ROUND((132.17*0.5887)+(131.15*0.4113),2)</f>
        <v>131.75</v>
      </c>
    </row>
    <row r="44" spans="1:15" x14ac:dyDescent="0.25">
      <c r="A44">
        <v>2020</v>
      </c>
      <c r="B44" s="2" t="s">
        <v>21</v>
      </c>
      <c r="C44" s="3">
        <f>ROUND((132.77*0.6015)+(133.44*0.3985),2)</f>
        <v>133.04</v>
      </c>
      <c r="D44" s="3">
        <f>ROUND((132.91*0.5291)+(136.94*0.4709),2)</f>
        <v>134.81</v>
      </c>
      <c r="E44" s="3">
        <f>ROUND((143.25*0.5021)+(128.52*0.4979),2)</f>
        <v>135.91999999999999</v>
      </c>
      <c r="F44" s="3">
        <f>ROUND((127.13*0.5604)+(133.17*0.4396),2)</f>
        <v>129.79</v>
      </c>
      <c r="G44" s="3">
        <f>ROUND((133.62*0.6882)+(129.64*0.3118),2)</f>
        <v>132.38</v>
      </c>
      <c r="H44" s="3">
        <f>ROUND((126.84*0.6008)+(125.42*0.3992),2)</f>
        <v>126.27</v>
      </c>
      <c r="I44" s="3">
        <f>ROUND((137.89*0.498)+(136.9*0.502),2)</f>
        <v>137.38999999999999</v>
      </c>
      <c r="J44" s="3">
        <f>ROUND((146.34*0.625)+(143.36*0.375),2)</f>
        <v>145.22</v>
      </c>
      <c r="K44" s="3">
        <f>ROUND((108.19*0.6403)+(104.7*0.3597),2)</f>
        <v>106.93</v>
      </c>
      <c r="L44" s="3">
        <f>ROUND((117.24*0.6548)+(122.07*0.3452),2)</f>
        <v>118.91</v>
      </c>
      <c r="M44" s="3">
        <f>ROUND((144.71*0.7754)+(132.56*0.2246),2)</f>
        <v>141.97999999999999</v>
      </c>
      <c r="N44" s="3">
        <f>ROUND((127.33*0.6505)+(129.84*0.3495),2)</f>
        <v>128.21</v>
      </c>
      <c r="O44" s="3">
        <f>ROUND((133.78*0.5887)+(133.16*0.4113),2)</f>
        <v>133.52000000000001</v>
      </c>
    </row>
    <row r="45" spans="1:15" x14ac:dyDescent="0.25">
      <c r="A45">
        <v>2020</v>
      </c>
      <c r="B45" s="2" t="s">
        <v>22</v>
      </c>
      <c r="C45" s="3">
        <f>ROUND((131.32*0.6015)+(132.13*0.3985),2)</f>
        <v>131.63999999999999</v>
      </c>
      <c r="D45" s="3">
        <f>ROUND((130.25*0.5291)+(134.17*0.4709),2)</f>
        <v>132.1</v>
      </c>
      <c r="E45" s="3">
        <f>ROUND((143.51*0.5021)+(128.99*0.4979),2)</f>
        <v>136.28</v>
      </c>
      <c r="F45" s="3">
        <f>ROUND((127.81*0.5604)+(134.33*0.4396),2)</f>
        <v>130.68</v>
      </c>
      <c r="G45" s="3">
        <f>ROUND((130.34*0.6882)+(126.39*0.3118),2)</f>
        <v>129.11000000000001</v>
      </c>
      <c r="H45" s="3">
        <f>ROUND((127.57*0.6008)+(126.2*0.3992),2)</f>
        <v>127.02</v>
      </c>
      <c r="I45" s="3">
        <f>ROUND((138.29*0.498)+(137.89*0.502),2)</f>
        <v>138.09</v>
      </c>
      <c r="J45" s="3">
        <f>ROUND((146.55*0.625)+(144.02*0.375),2)</f>
        <v>145.6</v>
      </c>
      <c r="K45" s="3">
        <f t="shared" ref="K45:K50" si="0">ROUND((108.22*0.6403)+(104.72*0.3597),2)</f>
        <v>106.96</v>
      </c>
      <c r="L45" s="3">
        <f>ROUND((117.38*0.6548)+(122.15*0.3452),2)</f>
        <v>119.03</v>
      </c>
      <c r="M45" s="3">
        <f>ROUND((144.71*0.7754)+(133.12*0.2246),2)</f>
        <v>142.11000000000001</v>
      </c>
      <c r="N45" s="3">
        <f>ROUND((128.88*0.6505)+(131.63*0.3495),2)</f>
        <v>129.84</v>
      </c>
      <c r="O45" s="3">
        <f>ROUND((134.2*0.5887)+(134.74*0.4113),2)</f>
        <v>134.41999999999999</v>
      </c>
    </row>
    <row r="46" spans="1:15" x14ac:dyDescent="0.25">
      <c r="A46">
        <v>2020</v>
      </c>
      <c r="B46" s="2" t="s">
        <v>23</v>
      </c>
      <c r="C46" s="3">
        <f>ROUND((131.49*0.6015)+(132*0.3985),2)</f>
        <v>131.69</v>
      </c>
      <c r="D46" s="3">
        <f>ROUND((130.93*0.5291)+(133.59*0.4709),2)</f>
        <v>132.18</v>
      </c>
      <c r="E46" s="3">
        <f>ROUND((143.54*0.5021)+(129.21*0.4979),2)</f>
        <v>136.41</v>
      </c>
      <c r="F46" s="3">
        <f>ROUND((129.69*0.5604)+(136.59*0.4396),2)</f>
        <v>132.72</v>
      </c>
      <c r="G46" s="3">
        <f>ROUND((130.4*0.6882)+(126.44*0.3118),2)</f>
        <v>129.16999999999999</v>
      </c>
      <c r="H46" s="3">
        <f>ROUND((128.21*0.6008)+(127.38*0.3992),2)</f>
        <v>127.88</v>
      </c>
      <c r="I46" s="3">
        <f>ROUND((139.56*0.498)+(139.54*0.502),2)</f>
        <v>139.55000000000001</v>
      </c>
      <c r="J46" s="3">
        <f>ROUND((139.85*0.625)+(138.06*0.375),2)</f>
        <v>139.18</v>
      </c>
      <c r="K46" s="3">
        <f t="shared" si="0"/>
        <v>106.96</v>
      </c>
      <c r="L46" s="3">
        <f>ROUND((118.01*0.6548)+(122.45*0.3452),2)</f>
        <v>119.54</v>
      </c>
      <c r="M46" s="3">
        <f>ROUND((144.98*0.7754)+(133.48*0.2246),2)</f>
        <v>142.4</v>
      </c>
      <c r="N46" s="3">
        <f>ROUND((129.7*0.6505)+(132.31*0.3495),2)</f>
        <v>130.61000000000001</v>
      </c>
      <c r="O46" s="3">
        <f>ROUND((135.66*0.5887)+(135.89*0.4113),2)</f>
        <v>135.75</v>
      </c>
    </row>
    <row r="47" spans="1:15" x14ac:dyDescent="0.25">
      <c r="A47">
        <v>2020</v>
      </c>
      <c r="B47" s="2" t="s">
        <v>24</v>
      </c>
      <c r="C47" s="3">
        <f>ROUND((130.6*0.6015)+(130.58*0.3985),2)</f>
        <v>130.59</v>
      </c>
      <c r="D47" s="3">
        <f>ROUND((129.25*0.5291)+(130.87*0.4709),2)</f>
        <v>130.01</v>
      </c>
      <c r="E47" s="3">
        <f>ROUND((144.82*0.5021)+(130.15*0.4979),2)</f>
        <v>137.52000000000001</v>
      </c>
      <c r="F47" s="3">
        <f>ROUND((129.69*0.5604)+(136.59*0.4396),2)</f>
        <v>132.72</v>
      </c>
      <c r="G47" s="3">
        <f>ROUND((130.08*0.6882)+(125.77*0.3118),2)</f>
        <v>128.74</v>
      </c>
      <c r="H47" s="3">
        <f>ROUND((128.45*0.6008)+(127.99*0.3992),2)</f>
        <v>128.27000000000001</v>
      </c>
      <c r="I47" s="3">
        <f>ROUND((139.6*0.498)+(140.49*0.502),2)</f>
        <v>140.05000000000001</v>
      </c>
      <c r="J47" s="3">
        <f>ROUND((133.49*0.625)+(131.78*0.375),2)</f>
        <v>132.85</v>
      </c>
      <c r="K47" s="3">
        <f t="shared" si="0"/>
        <v>106.96</v>
      </c>
      <c r="L47" s="3">
        <f>ROUND((118.08*0.6548)+(122.78*0.3452),2)</f>
        <v>119.7</v>
      </c>
      <c r="M47" s="3">
        <f>ROUND((144.98*0.7754)+(133.48*0.2246),2)</f>
        <v>142.4</v>
      </c>
      <c r="N47" s="3">
        <f>ROUND((129.74*0.6505)+(132.76*0.3495),2)</f>
        <v>130.80000000000001</v>
      </c>
      <c r="O47" s="3">
        <f>ROUND((137.08*0.5887)+(137.06*0.4113),2)</f>
        <v>137.07</v>
      </c>
    </row>
    <row r="48" spans="1:15" x14ac:dyDescent="0.25">
      <c r="A48">
        <v>2020</v>
      </c>
      <c r="B48" s="2" t="s">
        <v>25</v>
      </c>
      <c r="C48" s="3">
        <f>ROUND((130.99*0.6015)+(131.03*0.3985),2)</f>
        <v>131.01</v>
      </c>
      <c r="D48" s="3">
        <f>ROUND((131.55*0.5291)+(132.78*0.4709),2)</f>
        <v>132.13</v>
      </c>
      <c r="E48" s="3">
        <f>ROUND((145.03*0.5021)+(130.21*0.4979),2)</f>
        <v>137.65</v>
      </c>
      <c r="F48" s="3">
        <f>ROUND((131.67*0.5604)+(138.3*0.4396),2)</f>
        <v>134.58000000000001</v>
      </c>
      <c r="G48" s="3">
        <f>ROUND((130.22*0.6882)+(125.12*0.3118),2)</f>
        <v>128.63</v>
      </c>
      <c r="H48" s="3">
        <f>ROUND((128.8*0.6008)+(128.66*0.3992),2)</f>
        <v>128.74</v>
      </c>
      <c r="I48" s="3">
        <f>ROUND((139.92*0.498)+(140.8*0.502),2)</f>
        <v>140.36000000000001</v>
      </c>
      <c r="J48" s="3">
        <f>ROUND((124.89*0.625)+(123.25*0.375),2)</f>
        <v>124.28</v>
      </c>
      <c r="K48" s="3">
        <f t="shared" si="0"/>
        <v>106.96</v>
      </c>
      <c r="L48" s="3">
        <f>ROUND((118.12*0.6548)+(123.12*0.3452),2)</f>
        <v>119.85</v>
      </c>
      <c r="M48" s="3">
        <f>ROUND((144.98*0.7754)+(133.48*0.2246),2)</f>
        <v>142.4</v>
      </c>
      <c r="N48" s="3">
        <f>ROUND((129.8*0.6505)+(133.51*0.3495),2)</f>
        <v>131.1</v>
      </c>
      <c r="O48" s="3">
        <f>ROUND((137.02*0.5887)+(137.35*0.4113),2)</f>
        <v>137.16</v>
      </c>
    </row>
    <row r="49" spans="1:15" x14ac:dyDescent="0.25">
      <c r="A49">
        <v>2020</v>
      </c>
      <c r="B49" s="2" t="s">
        <v>26</v>
      </c>
      <c r="C49" s="3">
        <f>ROUND((131.89*0.6015)+(132.36*0.3985),2)</f>
        <v>132.08000000000001</v>
      </c>
      <c r="D49" s="3">
        <f>ROUND((134.23*0.5291)+(135.66*0.4709),2)</f>
        <v>134.9</v>
      </c>
      <c r="E49" s="3">
        <f>ROUND((145.1*0.5021)+(130.65*0.4979),2)</f>
        <v>137.91</v>
      </c>
      <c r="F49" s="3">
        <f>ROUND((132.5*0.5604)+(139.64*0.4396),2)</f>
        <v>135.63999999999999</v>
      </c>
      <c r="G49" s="3">
        <f>ROUND((130.09*0.6882)+(124.75*0.3118),2)</f>
        <v>128.41999999999999</v>
      </c>
      <c r="H49" s="3">
        <f>ROUND((129.35*0.6008)+(129.3*0.3992),2)</f>
        <v>129.33000000000001</v>
      </c>
      <c r="I49" s="3">
        <f>ROUND((140.28*0.498)+(141.06*0.502),2)</f>
        <v>140.66999999999999</v>
      </c>
      <c r="J49" s="3">
        <f>ROUND((123.36*0.625)+(122.26*0.375),2)</f>
        <v>122.95</v>
      </c>
      <c r="K49" s="3">
        <f t="shared" si="0"/>
        <v>106.96</v>
      </c>
      <c r="L49" s="3">
        <f>ROUND((118.29*0.6548)+(123.14*0.3452),2)</f>
        <v>119.96</v>
      </c>
      <c r="M49" s="3">
        <f>ROUND((144.98*0.7754)+(133.48*0.2246),2)</f>
        <v>142.4</v>
      </c>
      <c r="N49" s="3">
        <f>ROUND((130.52*0.6505)+(134.15*0.3495),2)</f>
        <v>131.79</v>
      </c>
      <c r="O49" s="3">
        <f>ROUND((138.14*0.5887)+(138.54*0.4113),2)</f>
        <v>138.30000000000001</v>
      </c>
    </row>
    <row r="50" spans="1:15" x14ac:dyDescent="0.25">
      <c r="A50">
        <v>2020</v>
      </c>
      <c r="B50" s="2" t="s">
        <v>15</v>
      </c>
      <c r="C50" s="3">
        <f>ROUND((134.73*0.6015)+(136.36*0.3985),2)</f>
        <v>135.38</v>
      </c>
      <c r="D50" s="3">
        <f>ROUND((138.88*0.5291)+(141.49*0.4709),2)</f>
        <v>140.11000000000001</v>
      </c>
      <c r="E50" s="3">
        <f>ROUND((148.36*0.5021)+(132.15*0.4979),2)</f>
        <v>140.29</v>
      </c>
      <c r="F50" s="3">
        <f>ROUND((132.97*0.5604)+(141.36*0.4396),2)</f>
        <v>136.66</v>
      </c>
      <c r="G50" s="3">
        <f>ROUND((131.76*0.6882)+(126.58*0.3118),2)</f>
        <v>130.13999999999999</v>
      </c>
      <c r="H50" s="3">
        <f>ROUND((130.01*0.6008)+(131.08*0.3992),2)</f>
        <v>130.44</v>
      </c>
      <c r="I50" s="3">
        <f>ROUND((141.55*0.498)+(142.62*0.502),2)</f>
        <v>142.09</v>
      </c>
      <c r="J50" s="3">
        <f>ROUND((134.88*0.625)+(134.53*0.375),2)</f>
        <v>134.75</v>
      </c>
      <c r="K50" s="3">
        <f t="shared" si="0"/>
        <v>106.96</v>
      </c>
      <c r="L50" s="3">
        <f>ROUND((118.86*0.6548)+(125.09*0.3452),2)</f>
        <v>121.01</v>
      </c>
      <c r="M50" s="3">
        <f>ROUND((144.98*0.7754)+(133.48*0.2246),2)</f>
        <v>142.4</v>
      </c>
      <c r="N50" s="3">
        <f>ROUND((130.92*0.6505)+(135.62*0.3495),2)</f>
        <v>132.56</v>
      </c>
      <c r="O50" s="3">
        <f>ROUND((140.4*0.5887)+(141.98*0.4113),2)</f>
        <v>141.05000000000001</v>
      </c>
    </row>
    <row r="51" spans="1:15" x14ac:dyDescent="0.25">
      <c r="A51">
        <v>2020</v>
      </c>
      <c r="B51" s="2" t="s">
        <v>16</v>
      </c>
      <c r="C51" s="3">
        <f>ROUND((135.82*0.6015)+(136.84*0.3985),2)</f>
        <v>136.22999999999999</v>
      </c>
      <c r="D51" s="3">
        <f>ROUND((137.9*0.5291)+(139.97*0.4709),2)</f>
        <v>138.87</v>
      </c>
      <c r="E51" s="3">
        <f>ROUND((149.8*0.5021)+(133.51*0.4979),2)</f>
        <v>141.69</v>
      </c>
      <c r="F51" s="3">
        <f>ROUND((133.2*0.5604)+(141.86*0.4396),2)</f>
        <v>137.01</v>
      </c>
      <c r="G51" s="3">
        <f>ROUND((134.06*0.6882)+(128.98*0.3118),2)</f>
        <v>132.47999999999999</v>
      </c>
      <c r="H51" s="3">
        <f>ROUND((130.64*0.6008)+(132.25*0.3992),2)</f>
        <v>131.28</v>
      </c>
      <c r="I51" s="3">
        <f>ROUND((142.89*0.498)+(143.24*0.502),2)</f>
        <v>143.07</v>
      </c>
      <c r="J51" s="3">
        <f>ROUND((139.08*0.625)+(138.18*0.375),2)</f>
        <v>138.74</v>
      </c>
      <c r="K51" s="3">
        <f>ROUND((108.22*0.6403)+(104.76*0.3597),2)</f>
        <v>106.98</v>
      </c>
      <c r="L51" s="3">
        <f>ROUND((119.36*0.6548)+(125.26*0.3452),2)</f>
        <v>121.4</v>
      </c>
      <c r="M51" s="3">
        <f>ROUND((145.07*0.7754)+(133.48*0.2246),2)</f>
        <v>142.47</v>
      </c>
      <c r="N51" s="3">
        <f>ROUND((133.37*0.6505)+(136.41*0.3495),2)</f>
        <v>134.43</v>
      </c>
      <c r="O51" s="3">
        <f>ROUND((145.22*0.5887)+(147.38*0.4113),2)</f>
        <v>146.11000000000001</v>
      </c>
    </row>
    <row r="52" spans="1:15" x14ac:dyDescent="0.25">
      <c r="A52">
        <v>2020</v>
      </c>
      <c r="B52" s="2" t="s">
        <v>17</v>
      </c>
      <c r="C52" s="3">
        <f>ROUND((137.53*0.6015)+(139.51*0.3985),2)</f>
        <v>138.32</v>
      </c>
      <c r="D52" s="3">
        <f>ROUND((142.73*0.5291)+(145.72*0.4709),2)</f>
        <v>144.13999999999999</v>
      </c>
      <c r="E52" s="3">
        <f>ROUND((150.34*0.5021)+(134.39*0.4979),2)</f>
        <v>142.4</v>
      </c>
      <c r="F52" s="3">
        <f>ROUND((133.75*0.5604)+(142.32*0.4396),2)</f>
        <v>137.52000000000001</v>
      </c>
      <c r="G52" s="3">
        <f>ROUND((134.02*0.6882)+(128.93*0.3118),2)</f>
        <v>132.43</v>
      </c>
      <c r="H52" s="3">
        <f>ROUND((131.57*0.6008)+(134.49*0.3992),2)</f>
        <v>132.74</v>
      </c>
      <c r="I52" s="3">
        <f>ROUND((144.31*0.498)+(144.6*0.502),2)</f>
        <v>144.46</v>
      </c>
      <c r="J52" s="3">
        <f>ROUND((140.06*0.625)+(137.96*0.375),2)</f>
        <v>139.27000000000001</v>
      </c>
      <c r="K52" s="3">
        <f>ROUND((108.23*0.6403)+(104.84*0.3597),2)</f>
        <v>107.01</v>
      </c>
      <c r="L52" s="3">
        <f>ROUND((120.03*0.6548)+(126.67*0.3452),2)</f>
        <v>122.32</v>
      </c>
      <c r="M52" s="3">
        <f>ROUND((145.49*0.7754)+(134.08*0.2246),2)</f>
        <v>142.93</v>
      </c>
      <c r="N52" s="3">
        <f>ROUND((134.14*0.6505)+(137.74*0.3495),2)</f>
        <v>135.4</v>
      </c>
      <c r="O52" s="3">
        <f>ROUND((144.68*0.5887)+(148.03*0.4113),2)</f>
        <v>146.06</v>
      </c>
    </row>
    <row r="53" spans="1:15" x14ac:dyDescent="0.25">
      <c r="A53">
        <v>2020</v>
      </c>
      <c r="B53" s="2" t="s">
        <v>18</v>
      </c>
      <c r="C53" s="3">
        <f>ROUND((139.27*0.6015)+(142.79*0.3985),2)</f>
        <v>140.66999999999999</v>
      </c>
      <c r="D53" s="3">
        <f>ROUND((147.23*0.5291)+(152.6*0.4709),2)</f>
        <v>149.76</v>
      </c>
      <c r="E53" s="3">
        <f>ROUND((151.34*0.5021)+(134.65*0.4979),2)</f>
        <v>143.03</v>
      </c>
      <c r="F53" s="3">
        <f>ROUND((134.1*0.5604)+(143.15*0.4396),2)</f>
        <v>138.08000000000001</v>
      </c>
      <c r="G53" s="3">
        <f>ROUND((134.44*0.6882)+(129.57*0.3118),2)</f>
        <v>132.91999999999999</v>
      </c>
      <c r="H53" s="3">
        <f>ROUND((132.88*0.6008)+(135.45*0.3992),2)</f>
        <v>133.91</v>
      </c>
      <c r="I53" s="3">
        <f>ROUND((145.63*0.498)+(145.21*0.502),2)</f>
        <v>145.41999999999999</v>
      </c>
      <c r="J53" s="3">
        <f>ROUND((140.58*0.625)+(138.56*0.375),2)</f>
        <v>139.82</v>
      </c>
      <c r="K53" s="3">
        <f>ROUND((108.26*0.6403)+(104.91*0.3597),2)</f>
        <v>107.06</v>
      </c>
      <c r="L53" s="3">
        <f>ROUND((120.33*0.6548)+(128.38*0.3452),2)</f>
        <v>123.11</v>
      </c>
      <c r="M53" s="3">
        <f>ROUND((146.16*0.7754)+(135.26*0.2246),2)</f>
        <v>143.71</v>
      </c>
      <c r="N53" s="3">
        <f>ROUND((135.28*0.6505)+(138.95*0.3495),2)</f>
        <v>136.56</v>
      </c>
      <c r="O53" s="3">
        <f>ROUND((144.4*0.5887)+(148.83*0.4113),2)</f>
        <v>146.22</v>
      </c>
    </row>
    <row r="54" spans="1:15" x14ac:dyDescent="0.25">
      <c r="A54">
        <v>2020</v>
      </c>
      <c r="B54" s="2" t="s">
        <v>19</v>
      </c>
      <c r="C54" s="3">
        <f>ROUND((140.16*0.6015)+(144.34*0.3985),2)</f>
        <v>141.83000000000001</v>
      </c>
      <c r="D54" s="3">
        <f>ROUND((149.77*0.5291)+(155.84*0.4709),2)</f>
        <v>152.63</v>
      </c>
      <c r="E54" s="3">
        <f>ROUND((152.13*0.5021)+(134.63*0.4979),2)</f>
        <v>143.41999999999999</v>
      </c>
      <c r="F54" s="3">
        <f>ROUND((136.62*0.5604)+(144.38*0.4396),2)</f>
        <v>140.03</v>
      </c>
      <c r="G54" s="3">
        <f>ROUND((134.09*0.6882)+(129.97*0.3118),2)</f>
        <v>132.81</v>
      </c>
      <c r="H54" s="3">
        <f>ROUND((133.72*0.6008)+(135.98*0.3992),2)</f>
        <v>134.62</v>
      </c>
      <c r="I54" s="3">
        <f>ROUND((145.98*0.498)+(146.71*0.502),2)</f>
        <v>146.35</v>
      </c>
      <c r="J54" s="3">
        <f>ROUND((137.2*0.625)+(135.81*0.375),2)</f>
        <v>136.68</v>
      </c>
      <c r="K54" s="3">
        <f>ROUND((108.74*0.6403)+(105.08*0.3597),2)</f>
        <v>107.42</v>
      </c>
      <c r="L54" s="3">
        <f>ROUND((120.84*0.6548)+(128.75*0.3452),2)</f>
        <v>123.57</v>
      </c>
      <c r="M54" s="3">
        <f>ROUND((146.16*0.7754)+(135.26*0.2246),2)</f>
        <v>143.71</v>
      </c>
      <c r="N54" s="3">
        <f>ROUND((136.53*0.6505)+(140.37*0.3495),2)</f>
        <v>137.87</v>
      </c>
      <c r="O54" s="3">
        <f>ROUND((145.64*0.5887)+(149.4*0.4113),2)</f>
        <v>147.19</v>
      </c>
    </row>
    <row r="55" spans="1:15" x14ac:dyDescent="0.25">
      <c r="A55">
        <v>2020</v>
      </c>
      <c r="B55" s="2" t="s">
        <v>20</v>
      </c>
      <c r="C55" s="3">
        <f>ROUND((139.67*0.6015)+(142.65*0.3985),2)</f>
        <v>140.86000000000001</v>
      </c>
      <c r="D55" s="3">
        <f>ROUND((145.86*0.5291)+(149.78*0.4709),2)</f>
        <v>147.71</v>
      </c>
      <c r="E55" s="3">
        <f>ROUND((152.1*0.5021)+(135.11*0.4979),2)</f>
        <v>143.63999999999999</v>
      </c>
      <c r="F55" s="3">
        <f>ROUND((137.25*0.5604)+(145.7*0.4396),2)</f>
        <v>140.96</v>
      </c>
      <c r="G55" s="3">
        <f>ROUND((135.34*0.6882)+(132.24*0.3118),2)</f>
        <v>134.37</v>
      </c>
      <c r="H55" s="3">
        <f>ROUND((134.34*0.6008)+(136.86*0.3992),2)</f>
        <v>135.35</v>
      </c>
      <c r="I55" s="3">
        <f>ROUND((147.24*0.498)+(148.04*0.502),2)</f>
        <v>147.63999999999999</v>
      </c>
      <c r="J55" s="3">
        <f>ROUND((139.79*0.625)+(137.44*0.375),2)</f>
        <v>138.91</v>
      </c>
      <c r="K55" s="3">
        <f>ROUND((108.8*0.6403)+(105.08*0.3597),2)</f>
        <v>107.46</v>
      </c>
      <c r="L55" s="3">
        <f>ROUND((121.05*0.6548)+(129.72*0.3452),2)</f>
        <v>124.04</v>
      </c>
      <c r="M55" s="3">
        <f>ROUND((146.16*0.7754)+(135.26*0.2246),2)</f>
        <v>143.71</v>
      </c>
      <c r="N55" s="3">
        <f>ROUND((137.47*0.6505)+(141.09*0.3495),2)</f>
        <v>138.74</v>
      </c>
      <c r="O55" s="3">
        <f>ROUND((146.15*0.5887)+(149.28*0.4113),2)</f>
        <v>147.44</v>
      </c>
    </row>
    <row r="56" spans="1:15" x14ac:dyDescent="0.25">
      <c r="A56">
        <v>2021</v>
      </c>
      <c r="B56" s="2" t="s">
        <v>21</v>
      </c>
      <c r="C56" s="3">
        <f>ROUND((139.45*0.6015)+(142.23*0.3985),2)</f>
        <v>140.56</v>
      </c>
      <c r="D56" s="3">
        <f>ROUND((141.87*0.5291)+(145.94*0.4709),2)</f>
        <v>143.79</v>
      </c>
      <c r="E56" s="3">
        <f>ROUND((152.14*0.5021)+(135.33*0.4979),2)</f>
        <v>143.77000000000001</v>
      </c>
      <c r="F56" s="3">
        <f>ROUND((137.97*0.5604)+(147.45*0.4396),2)</f>
        <v>142.13999999999999</v>
      </c>
      <c r="G56" s="3">
        <f>ROUND((137.52*0.6882)+(135.5*0.3118),2)</f>
        <v>136.88999999999999</v>
      </c>
      <c r="H56" s="3">
        <f>ROUND((134.95*0.6008)+(137.36*0.3992),2)</f>
        <v>135.91</v>
      </c>
      <c r="I56" s="3">
        <f>ROUND((148.06*0.498)+(149.99*0.502),2)</f>
        <v>149.03</v>
      </c>
      <c r="J56" s="3">
        <f>ROUND((142.26*0.625)+(140.17*0.375),2)</f>
        <v>141.47999999999999</v>
      </c>
      <c r="K56" s="3">
        <f>ROUND((108.87*0.6403)+(105.08*0.3597),2)</f>
        <v>107.51</v>
      </c>
      <c r="L56" s="3">
        <f>ROUND((121.14*0.6548)+(130.62*0.3452),2)</f>
        <v>124.41</v>
      </c>
      <c r="M56" s="3">
        <f>ROUND((146.25*0.7754)+(135.37*0.2246),2)</f>
        <v>143.81</v>
      </c>
      <c r="N56" s="3">
        <f>ROUND((138.39*0.6505)+(141.96*0.3495),2)</f>
        <v>139.63999999999999</v>
      </c>
      <c r="O56" s="3">
        <f>ROUND((147.67*0.5887)+(150.73*0.4113),2)</f>
        <v>148.93</v>
      </c>
    </row>
    <row r="57" spans="1:15" x14ac:dyDescent="0.25">
      <c r="A57">
        <v>2021</v>
      </c>
      <c r="B57" s="2" t="s">
        <v>22</v>
      </c>
      <c r="C57" s="3">
        <f>ROUND((142.61*0.6015)+(143.82*0.3985),2)</f>
        <v>143.09</v>
      </c>
      <c r="D57" s="3">
        <f>ROUND((143.95*0.5291)+(146.1*0.4709),2)</f>
        <v>144.96</v>
      </c>
      <c r="E57" s="3">
        <f>ROUND((152.48*0.5021)+(135.46*0.4979),2)</f>
        <v>144.01</v>
      </c>
      <c r="F57" s="3">
        <f>ROUND((143.58*0.5604)+(147.93*0.4396),2)</f>
        <v>145.49</v>
      </c>
      <c r="G57" s="3">
        <f>ROUND((143.34*0.6882)+(141.76*0.3118),2)</f>
        <v>142.85</v>
      </c>
      <c r="H57" s="3">
        <f>ROUND((137.06*0.6008)+(138.88*0.3992),2)</f>
        <v>137.79</v>
      </c>
      <c r="I57" s="3">
        <f>ROUND((150.26*0.498)+(151.36*0.502),2)</f>
        <v>150.81</v>
      </c>
      <c r="J57" s="3">
        <f>ROUND((145.36*0.625)+(142.24*0.375),2)</f>
        <v>144.19</v>
      </c>
      <c r="K57" s="3">
        <f>ROUND((108.95*0.6403)+(105.08*0.3597),2)</f>
        <v>107.56</v>
      </c>
      <c r="L57" s="3">
        <f>ROUND((121.56*0.6548)+(130.73*0.3452),2)</f>
        <v>124.73</v>
      </c>
      <c r="M57" s="3">
        <f>ROUND((146.26*0.7754)+(135.46*0.2246),2)</f>
        <v>143.83000000000001</v>
      </c>
      <c r="N57" s="3">
        <f>ROUND((139*0.6505)+(142.46*0.3495),2)</f>
        <v>140.21</v>
      </c>
      <c r="O57" s="3">
        <f>ROUND((150.08*0.5887)+(152.02*0.4113),2)</f>
        <v>150.88</v>
      </c>
    </row>
    <row r="58" spans="1:15" x14ac:dyDescent="0.25">
      <c r="A58">
        <v>2021</v>
      </c>
      <c r="B58" s="2" t="s">
        <v>23</v>
      </c>
      <c r="C58" s="3">
        <f>ROUND((142.99*0.6015)+(144.55*0.3985),2)</f>
        <v>143.61000000000001</v>
      </c>
      <c r="D58" s="3">
        <f>ROUND((146.51*0.5291)+(148.6*0.4709),2)</f>
        <v>147.49</v>
      </c>
      <c r="E58" s="3">
        <f>ROUND((153.44*0.5021)+(135.45*0.4979),2)</f>
        <v>144.47999999999999</v>
      </c>
      <c r="F58" s="3">
        <f>ROUND((144.65*0.5604)+(149.87*0.4396),2)</f>
        <v>146.94</v>
      </c>
      <c r="G58" s="3">
        <f>ROUND((141.07*0.6882)+(139.19*0.3118),2)</f>
        <v>140.47999999999999</v>
      </c>
      <c r="H58" s="3">
        <f>ROUND((138.33*0.6008)+(140.5*0.3992),2)</f>
        <v>139.19999999999999</v>
      </c>
      <c r="I58" s="3">
        <f>ROUND((151.94*0.498)+(151.76*0.502),2)</f>
        <v>151.85</v>
      </c>
      <c r="J58" s="3">
        <f>ROUND((144.34*0.625)+(141.43*0.375),2)</f>
        <v>143.25</v>
      </c>
      <c r="K58" s="3">
        <f>ROUND((108.95*0.6403)+(105.11*0.3597),2)</f>
        <v>107.57</v>
      </c>
      <c r="L58" s="3">
        <f>ROUND((121.89*0.6548)+(131.05*0.3452),2)</f>
        <v>125.05</v>
      </c>
      <c r="M58" s="3">
        <f>ROUND((146.26*0.7754)+(135.46*0.2246),2)</f>
        <v>143.83000000000001</v>
      </c>
      <c r="N58" s="3">
        <f>ROUND((140.53*0.6505)+(142.56*0.3495),2)</f>
        <v>141.24</v>
      </c>
      <c r="O58" s="3">
        <f>ROUND((149.64*0.5887)+(150.92*0.4113),2)</f>
        <v>150.16999999999999</v>
      </c>
    </row>
    <row r="59" spans="1:15" x14ac:dyDescent="0.25">
      <c r="A59">
        <v>2021</v>
      </c>
      <c r="B59" s="2" t="s">
        <v>24</v>
      </c>
      <c r="C59" s="3">
        <f>ROUND((144.91*0.6015)+(145.37*0.3985),2)</f>
        <v>145.09</v>
      </c>
      <c r="D59" s="3">
        <f>ROUND((151.24*0.5291)+(150.1*0.4709),2)</f>
        <v>150.69999999999999</v>
      </c>
      <c r="E59" s="3">
        <f>ROUND((153.57*0.5021)+(134.91*0.4979),2)</f>
        <v>144.28</v>
      </c>
      <c r="F59" s="3">
        <f>ROUND((146.21*0.5604)+(151.38*0.4396),2)</f>
        <v>148.47999999999999</v>
      </c>
      <c r="G59" s="3">
        <f>ROUND((142.12*0.6882)+(139.18*0.3118),2)</f>
        <v>141.19999999999999</v>
      </c>
      <c r="H59" s="3">
        <f>ROUND((139.46*0.6008)+(141.78*0.3992),2)</f>
        <v>140.38999999999999</v>
      </c>
      <c r="I59" s="3">
        <f>ROUND((152.72*0.498)+(152.51*0.502),2)</f>
        <v>152.61000000000001</v>
      </c>
      <c r="J59" s="3">
        <f>ROUND((142.56*0.625)+(139.78*0.375),2)</f>
        <v>141.52000000000001</v>
      </c>
      <c r="K59" s="3">
        <f>ROUND((110.33*0.6403)+(105.56*0.3597),2)</f>
        <v>108.61</v>
      </c>
      <c r="L59" s="3">
        <f>ROUND((121.91*0.6548)+(131.36*0.3452),2)</f>
        <v>125.17</v>
      </c>
      <c r="M59" s="3">
        <f>ROUND((146.71*0.7754)+(137.36*0.2246),2)</f>
        <v>144.61000000000001</v>
      </c>
      <c r="N59" s="3">
        <f>ROUND((140.81*0.6505)+(142.88*0.3495),2)</f>
        <v>141.53</v>
      </c>
      <c r="O59" s="3">
        <f>ROUND((150.56*0.5887)+(151.22*0.4113),2)</f>
        <v>150.83000000000001</v>
      </c>
    </row>
    <row r="60" spans="1:15" x14ac:dyDescent="0.25">
      <c r="A60">
        <v>2021</v>
      </c>
      <c r="B60" s="2" t="s">
        <v>25</v>
      </c>
      <c r="C60" s="3">
        <f>ROUND((145.19*0.6015)+(145.32*0.3985),2)</f>
        <v>145.24</v>
      </c>
      <c r="D60" s="3">
        <f>ROUND((152.94*0.5291)+(150.35*0.4709),2)</f>
        <v>151.72</v>
      </c>
      <c r="E60" s="3">
        <f>ROUND((153.81*0.5021)+(135.11*0.4979),2)</f>
        <v>144.5</v>
      </c>
      <c r="F60" s="3">
        <f>ROUND((146.36*0.5604)+(152.15*0.4396),2)</f>
        <v>148.91</v>
      </c>
      <c r="G60" s="3">
        <f>ROUND((140.52*0.6882)+(137.22*0.3118),2)</f>
        <v>139.49</v>
      </c>
      <c r="H60" s="3">
        <f>ROUND((140.17*0.6008)+(142.57*0.3992),2)</f>
        <v>141.13</v>
      </c>
      <c r="I60" s="3">
        <f>ROUND((153.41*0.498)+(152.66*0.502),2)</f>
        <v>153.03</v>
      </c>
      <c r="J60" s="3">
        <f>ROUND((142.67*0.625)+(139.88*0.375),2)</f>
        <v>141.62</v>
      </c>
      <c r="K60" s="3">
        <f>ROUND((110.33*0.6403)+(105.56*0.3597),2)</f>
        <v>108.61</v>
      </c>
      <c r="L60" s="3">
        <f>ROUND((122.15*0.6548)+(132.34*0.3452),2)</f>
        <v>125.67</v>
      </c>
      <c r="M60" s="3">
        <f>ROUND((146.71*0.7754)+(137.36*0.2246),2)</f>
        <v>144.61000000000001</v>
      </c>
      <c r="N60" s="3">
        <f>ROUND((141.66*0.6505)+(143.66*0.3495),2)</f>
        <v>142.36000000000001</v>
      </c>
      <c r="O60" s="3">
        <f>ROUND((151.81*0.5887)+(151.91*0.4113),2)</f>
        <v>151.85</v>
      </c>
    </row>
    <row r="61" spans="1:15" x14ac:dyDescent="0.25">
      <c r="A61">
        <v>2021</v>
      </c>
      <c r="B61" s="2" t="s">
        <v>26</v>
      </c>
      <c r="C61" s="3">
        <f>ROUND((144.55*0.6015)+(145.24*0.3985),2)</f>
        <v>144.82</v>
      </c>
      <c r="D61" s="3">
        <f>ROUND((149.13*0.5291)+(148.93*0.4709),2)</f>
        <v>149.04</v>
      </c>
      <c r="E61" s="3">
        <f>ROUND((153.94*0.5021)+(135.56*0.4979),2)</f>
        <v>144.79</v>
      </c>
      <c r="F61" s="3">
        <f>ROUND((146.45*0.5604)+(152.58*0.4396),2)</f>
        <v>149.13999999999999</v>
      </c>
      <c r="G61" s="3">
        <f>ROUND((141.05*0.6882)+(138.05*0.3118),2)</f>
        <v>140.11000000000001</v>
      </c>
      <c r="H61" s="3">
        <f>ROUND((140.9*0.6008)+(143.57*0.3992),2)</f>
        <v>141.97</v>
      </c>
      <c r="I61" s="3">
        <f>ROUND((154.68*0.498)+(153.18*0.502),2)</f>
        <v>153.93</v>
      </c>
      <c r="J61" s="3">
        <f>ROUND((144.31*0.625)+(141.17*0.375),2)</f>
        <v>143.13</v>
      </c>
      <c r="K61" s="3">
        <f>ROUND((110.36*0.6403)+(105.61*0.3597),2)</f>
        <v>108.65</v>
      </c>
      <c r="L61" s="3">
        <f>ROUND((124.35*0.6548)+(133.03*0.3452),2)</f>
        <v>127.35</v>
      </c>
      <c r="M61" s="3">
        <f>ROUND((146.89*0.7754)+(138.27*0.2246),2)</f>
        <v>144.94999999999999</v>
      </c>
      <c r="N61" s="3">
        <f>ROUND((142.77*0.6505)+(144.42*0.3495),2)</f>
        <v>143.35</v>
      </c>
      <c r="O61" s="3">
        <f>ROUND((153.41*0.5887)+(153.63*0.4113),2)</f>
        <v>153.5</v>
      </c>
    </row>
    <row r="62" spans="1:15" x14ac:dyDescent="0.25">
      <c r="A62">
        <v>2021</v>
      </c>
      <c r="B62" s="2" t="s">
        <v>15</v>
      </c>
      <c r="C62" s="3">
        <f>ROUND((146.41*0.6015)+(147.28*0.3985),2)</f>
        <v>146.76</v>
      </c>
      <c r="D62" s="3">
        <f>ROUND((151.66*0.5291)+(151.64*0.4709),2)</f>
        <v>151.65</v>
      </c>
      <c r="E62" s="3">
        <f>ROUND((153.94*0.5021)+(135.37*0.4979),2)</f>
        <v>144.69</v>
      </c>
      <c r="F62" s="3">
        <f>ROUND((146.78*0.5604)+(153.2*0.4396),2)</f>
        <v>149.6</v>
      </c>
      <c r="G62" s="3">
        <f>ROUND((143*0.6882)+(140.05*0.3118),2)</f>
        <v>142.08000000000001</v>
      </c>
      <c r="H62" s="3">
        <f>ROUND((142.29*0.6008)+(144.6*0.3992),2)</f>
        <v>143.21</v>
      </c>
      <c r="I62" s="3">
        <f>ROUND((155*0.498)+(153.66*0.502),2)</f>
        <v>154.33000000000001</v>
      </c>
      <c r="J62" s="3">
        <f>ROUND((150.24*0.625)+(146.61*0.375),2)</f>
        <v>148.88</v>
      </c>
      <c r="K62" s="3">
        <f>ROUND((112.29*0.6403)+(105.77*0.3597),2)</f>
        <v>109.94</v>
      </c>
      <c r="L62" s="3">
        <f>ROUND((125.24*0.6548)+(133.72*0.3452),2)</f>
        <v>128.16999999999999</v>
      </c>
      <c r="M62" s="3">
        <f>ROUND((147.13*0.7754)+(138.99*0.2246),2)</f>
        <v>145.30000000000001</v>
      </c>
      <c r="N62" s="3">
        <f>ROUND((143.31*0.6505)+(144.82*0.3495),2)</f>
        <v>143.84</v>
      </c>
      <c r="O62" s="3">
        <f>ROUND((153.38*0.5887)+(155.53*0.4113),2)</f>
        <v>154.26</v>
      </c>
    </row>
    <row r="63" spans="1:15" x14ac:dyDescent="0.25">
      <c r="A63">
        <v>2021</v>
      </c>
      <c r="B63" s="2" t="s">
        <v>16</v>
      </c>
      <c r="C63" s="3">
        <f>ROUND((147.12*0.6015)+(148.34*0.3985),2)</f>
        <v>147.61000000000001</v>
      </c>
      <c r="D63" s="3">
        <f>ROUND((152.49*0.5291)+(152.96*0.4709),2)</f>
        <v>152.71</v>
      </c>
      <c r="E63" s="3">
        <f>ROUND((153.94*0.5021)+(135.37*0.4979),2)</f>
        <v>144.69</v>
      </c>
      <c r="F63" s="3">
        <f>ROUND((146.97*0.5604)+(153.41*0.4396),2)</f>
        <v>149.80000000000001</v>
      </c>
      <c r="G63" s="3">
        <f>ROUND((143.73*0.6882)+(141.47*0.3118),2)</f>
        <v>143.03</v>
      </c>
      <c r="H63" s="3">
        <f>ROUND((142.88*0.6008)+(145.48*0.3992),2)</f>
        <v>143.91999999999999</v>
      </c>
      <c r="I63" s="3">
        <f>ROUND((155.91*0.498)+(154.46*0.502),2)</f>
        <v>155.18</v>
      </c>
      <c r="J63" s="3">
        <f>ROUND((151.29*0.625)+(147.74*0.375),2)</f>
        <v>149.96</v>
      </c>
      <c r="K63" s="3">
        <f>ROUND((112.3*0.6403)+(105.8*0.3597),2)</f>
        <v>109.96</v>
      </c>
      <c r="L63" s="3">
        <f>ROUND((125.93*0.6548)+(135.26*0.3452),2)</f>
        <v>129.15</v>
      </c>
      <c r="M63" s="3">
        <f>ROUND((148.72*0.7754)+(139.52*0.2246),2)</f>
        <v>146.65</v>
      </c>
      <c r="N63" s="3">
        <f>ROUND((143.47*0.6505)+(145.85*0.3495),2)</f>
        <v>144.30000000000001</v>
      </c>
      <c r="O63" s="3">
        <f>ROUND((154.1*0.5887)+(155.71*0.4113),2)</f>
        <v>154.76</v>
      </c>
    </row>
    <row r="64" spans="1:15" x14ac:dyDescent="0.25">
      <c r="A64">
        <v>2021</v>
      </c>
      <c r="B64" s="2" t="s">
        <v>17</v>
      </c>
      <c r="C64" s="3">
        <f>ROUND((150.08*0.6015)+(151.74*0.3985),2)</f>
        <v>150.74</v>
      </c>
      <c r="D64" s="3">
        <f>ROUND((158.53*0.5291)+(159.22*0.4709),2)</f>
        <v>158.85</v>
      </c>
      <c r="E64" s="3">
        <f>ROUND((154.23*0.5021)+(136.16*0.4979),2)</f>
        <v>145.22999999999999</v>
      </c>
      <c r="F64" s="3">
        <f>ROUND((147.12*0.5604)+(154.03*0.4396),2)</f>
        <v>150.16</v>
      </c>
      <c r="G64" s="3">
        <f>ROUND((145.99*0.6882)+(143.9*0.3118),2)</f>
        <v>145.34</v>
      </c>
      <c r="H64" s="3">
        <f>ROUND((144.03*0.6008)+(146.5*0.3992),2)</f>
        <v>145.02000000000001</v>
      </c>
      <c r="I64" s="3">
        <f>ROUND((156.84*0.498)+(155.1*0.502),2)</f>
        <v>155.97</v>
      </c>
      <c r="J64" s="3">
        <f>ROUND((153.57*0.625)+(149.28*0.375),2)</f>
        <v>151.96</v>
      </c>
      <c r="K64" s="3">
        <f>ROUND((112.32*0.6403)+(105.8*0.3597),2)</f>
        <v>109.97</v>
      </c>
      <c r="L64" s="3">
        <f>ROUND((127.58*0.6548)+(136.71*0.3452),2)</f>
        <v>130.72999999999999</v>
      </c>
      <c r="M64" s="3">
        <f>ROUND((148.76*0.7754)+(139.52*0.2246),2)</f>
        <v>146.68</v>
      </c>
      <c r="N64" s="3">
        <f>ROUND((145.51*0.6505)+(146.78*0.3495),2)</f>
        <v>145.94999999999999</v>
      </c>
      <c r="O64" s="3">
        <f>ROUND((156.29*0.5887)+(157.69*0.4113),2)</f>
        <v>156.87</v>
      </c>
    </row>
    <row r="65" spans="1:15" x14ac:dyDescent="0.25">
      <c r="A65">
        <v>2021</v>
      </c>
      <c r="B65" s="2" t="s">
        <v>18</v>
      </c>
      <c r="C65" s="3">
        <f>ROUND((152.59*0.6015)+(155.15*0.3985),2)</f>
        <v>153.61000000000001</v>
      </c>
      <c r="D65" s="3">
        <f>ROUND((161.09*0.5291)+(163.49*0.4709),2)</f>
        <v>162.22</v>
      </c>
      <c r="E65" s="3">
        <f>ROUND((154.56*0.5021)+(136.85*0.4979),2)</f>
        <v>145.74</v>
      </c>
      <c r="F65" s="3">
        <f>ROUND((147.74*0.5604)+(154.9*0.4396),2)</f>
        <v>150.88999999999999</v>
      </c>
      <c r="G65" s="3">
        <f>ROUND((149.31*0.6882)+(147.72*0.3118),2)</f>
        <v>148.81</v>
      </c>
      <c r="H65" s="3">
        <f>ROUND((144.99*0.6008)+(148.01*0.3992),2)</f>
        <v>146.19999999999999</v>
      </c>
      <c r="I65" s="3">
        <f>ROUND((157.83*0.498)+(156.16*0.502),2)</f>
        <v>156.99</v>
      </c>
      <c r="J65" s="3">
        <f>ROUND((161.7*0.625)+(157.09*0.375),2)</f>
        <v>159.97</v>
      </c>
      <c r="K65" s="3">
        <f>ROUND((112.42*0.6403)+(105.96*0.3597),2)</f>
        <v>110.1</v>
      </c>
      <c r="L65" s="3">
        <f>ROUND((129.48*0.6548)+(137.69*0.3452),2)</f>
        <v>132.31</v>
      </c>
      <c r="M65" s="3">
        <f>ROUND((148.99*0.7754)+(139.62*0.2246),2)</f>
        <v>146.88999999999999</v>
      </c>
      <c r="N65" s="3">
        <f>ROUND((146.92*0.6505)+(149.55*0.3495),2)</f>
        <v>147.84</v>
      </c>
      <c r="O65" s="3">
        <f>ROUND((157.79*0.5887)+(160.64*0.4113),2)</f>
        <v>158.96</v>
      </c>
    </row>
    <row r="66" spans="1:15" x14ac:dyDescent="0.25">
      <c r="A66">
        <v>2021</v>
      </c>
      <c r="B66" s="2" t="s">
        <v>19</v>
      </c>
      <c r="C66" s="3">
        <f>ROUND((156.96*0.6015)+(160.03*0.3985),2)</f>
        <v>158.18</v>
      </c>
      <c r="D66" s="3">
        <f>ROUND((167.96*0.5291)+(169.33*0.4709),2)</f>
        <v>168.61</v>
      </c>
      <c r="E66" s="3">
        <f>ROUND((155.04*0.5021)+(136.96*0.4979),2)</f>
        <v>146.04</v>
      </c>
      <c r="F66" s="3">
        <f>ROUND((149.65*0.5604)+(158.97*0.4396),2)</f>
        <v>153.75</v>
      </c>
      <c r="G66" s="3">
        <f>ROUND((152.28*0.6882)+(152.66*0.3118),2)</f>
        <v>152.4</v>
      </c>
      <c r="H66" s="3">
        <f>ROUND((147.02*0.6008)+(150.96*0.3992),2)</f>
        <v>148.59</v>
      </c>
      <c r="I66" s="3">
        <f>ROUND((159.57*0.498)+(158.14*0.502),2)</f>
        <v>158.85</v>
      </c>
      <c r="J66" s="3">
        <f>ROUND((172.43*0.625)+(166.14*0.375),2)</f>
        <v>170.07</v>
      </c>
      <c r="K66" s="3">
        <f>ROUND((112.42*0.6403)+(105.96*0.3597),2)</f>
        <v>110.1</v>
      </c>
      <c r="L66" s="3">
        <f>ROUND((129.92*0.6548)+(138.41*0.3452),2)</f>
        <v>132.85</v>
      </c>
      <c r="M66" s="3">
        <f>ROUND((149.34*0.7754)+(139.62*0.2246),2)</f>
        <v>147.16</v>
      </c>
      <c r="N66" s="3">
        <f>ROUND((152.1*0.6505)+(154.84*0.3495),2)</f>
        <v>153.06</v>
      </c>
      <c r="O66" s="3">
        <f>ROUND((160.41*0.5887)+(163.87*0.4113),2)</f>
        <v>161.83000000000001</v>
      </c>
    </row>
    <row r="67" spans="1:15" x14ac:dyDescent="0.25">
      <c r="A67">
        <v>2021</v>
      </c>
      <c r="B67" s="2" t="s">
        <v>20</v>
      </c>
      <c r="C67" s="3">
        <f>ROUND((157.46*0.6015)+(159.21*0.3985),2)</f>
        <v>158.16</v>
      </c>
      <c r="D67" s="3">
        <f>ROUND((162.85*0.5291)+(163.09*0.4709),2)</f>
        <v>162.96</v>
      </c>
      <c r="E67" s="3">
        <f>ROUND((155.24*0.5021)+(137.65*0.4979),2)</f>
        <v>146.47999999999999</v>
      </c>
      <c r="F67" s="3">
        <f>ROUND((153.96*0.5604)+(160.44*0.4396),2)</f>
        <v>156.81</v>
      </c>
      <c r="G67" s="3">
        <f>ROUND((156.18*0.6882)+(157.61*0.3118),2)</f>
        <v>156.63</v>
      </c>
      <c r="H67" s="3">
        <f>ROUND((149.61*0.6008)+(155.63*0.3992),2)</f>
        <v>152.01</v>
      </c>
      <c r="I67" s="3">
        <f>ROUND((162.05*0.498)+(160.88*0.502),2)</f>
        <v>161.46</v>
      </c>
      <c r="J67" s="3">
        <f>ROUND((174.72*0.625)+(168.37*0.375),2)</f>
        <v>172.34</v>
      </c>
      <c r="K67" s="3">
        <f>ROUND((112.43*0.6403)+(105.97*0.3597),2)</f>
        <v>110.11</v>
      </c>
      <c r="L67" s="3">
        <f>ROUND((130.62*0.6548)+(139.24*0.3452),2)</f>
        <v>133.6</v>
      </c>
      <c r="M67" s="3">
        <f>ROUND((150.01*0.7754)+(139.98*0.2246),2)</f>
        <v>147.76</v>
      </c>
      <c r="N67" s="3">
        <f>ROUND((155.66*0.6505)+(157.36*0.3495),2)</f>
        <v>156.25</v>
      </c>
      <c r="O67" s="3">
        <f>ROUND((161.4*0.5887)+(165.27*0.4113),2)</f>
        <v>162.99</v>
      </c>
    </row>
    <row r="68" spans="1:15" x14ac:dyDescent="0.25">
      <c r="A68">
        <v>2022</v>
      </c>
      <c r="B68" s="2" t="s">
        <v>21</v>
      </c>
      <c r="C68" s="3">
        <f>ROUND((157.56*0.6015)+(160.62*0.3985),2)</f>
        <v>158.78</v>
      </c>
      <c r="D68" s="3">
        <f>ROUND((161.12*0.5291)+(163.47*0.4709),2)</f>
        <v>162.22999999999999</v>
      </c>
      <c r="E68" s="3">
        <f>ROUND((155.25*0.5021)+(138.04*0.4979),2)</f>
        <v>146.68</v>
      </c>
      <c r="F68" s="3">
        <f>ROUND((155.09*0.5604)+(161.77*0.4396),2)</f>
        <v>158.03</v>
      </c>
      <c r="G68" s="3">
        <f>ROUND((157.06*0.6882)+(160.55*0.3118),2)</f>
        <v>158.15</v>
      </c>
      <c r="H68" s="3">
        <f>ROUND((150.95*0.6008)+(157.65*0.3992),2)</f>
        <v>153.62</v>
      </c>
      <c r="I68" s="3">
        <f>ROUND((162.93*0.498)+(162.39*0.502),2)</f>
        <v>162.66</v>
      </c>
      <c r="J68" s="3">
        <f>ROUND((175.48*0.625)+(171.75*0.375),2)</f>
        <v>174.08</v>
      </c>
      <c r="K68" s="3">
        <f>ROUND((112.55*0.6403)+(106.2*0.3597),2)</f>
        <v>110.27</v>
      </c>
      <c r="L68" s="3">
        <f>ROUND((130.97*0.6548)+(140.24*0.3452),2)</f>
        <v>134.16999999999999</v>
      </c>
      <c r="M68" s="3">
        <f>ROUND((150.69*0.7754)+(140.32*0.2246),2)</f>
        <v>148.36000000000001</v>
      </c>
      <c r="N68" s="3">
        <f>ROUND((156.62*0.6505)+(159.88*0.3495),2)</f>
        <v>157.76</v>
      </c>
      <c r="O68" s="3">
        <f>ROUND((162.52*0.5887)+(166.93*0.4113),2)</f>
        <v>164.33</v>
      </c>
    </row>
    <row r="69" spans="1:15" x14ac:dyDescent="0.25">
      <c r="A69">
        <v>2022</v>
      </c>
      <c r="B69" s="2" t="s">
        <v>22</v>
      </c>
      <c r="C69" s="3">
        <f>ROUND((159.03*0.6015)+(162.99*0.3985),2)</f>
        <v>160.61000000000001</v>
      </c>
      <c r="D69" s="3">
        <f>ROUND((164.76*0.5291)+(168.06*0.4709),2)</f>
        <v>166.31</v>
      </c>
      <c r="E69" s="3">
        <f>ROUND((155.56*0.5021)+(138.51*0.4979),2)</f>
        <v>147.07</v>
      </c>
      <c r="F69" s="3">
        <f>ROUND((157.08*0.5604)+(162.73*0.4396),2)</f>
        <v>159.56</v>
      </c>
      <c r="G69" s="3">
        <f>ROUND((154.52*0.6882)+(158.25*0.3118),2)</f>
        <v>155.68</v>
      </c>
      <c r="H69" s="3">
        <f>ROUND((154.01*0.6008)+(159.76*0.3992),2)</f>
        <v>156.31</v>
      </c>
      <c r="I69" s="3">
        <f>ROUND((165.61*0.498)+(166.51*0.502),2)</f>
        <v>166.06</v>
      </c>
      <c r="J69" s="3">
        <f>ROUND((181.41*0.625)+(178.43*0.375),2)</f>
        <v>180.29</v>
      </c>
      <c r="K69" s="3">
        <f>ROUND((112.56*0.6403)+(106.24*0.3597),2)</f>
        <v>110.29</v>
      </c>
      <c r="L69" s="3">
        <f>ROUND((131.23*0.6548)+(141.86*0.3452),2)</f>
        <v>134.9</v>
      </c>
      <c r="M69" s="3">
        <f>ROUND((150.87*0.7754)+(141.47*0.2246),2)</f>
        <v>148.76</v>
      </c>
      <c r="N69" s="3">
        <f>ROUND((159.82*0.6505)+(161.47*0.3495),2)</f>
        <v>160.4</v>
      </c>
      <c r="O69" s="3">
        <f>ROUND((164.52*0.5887)+(168.29*0.4113),2)</f>
        <v>166.07</v>
      </c>
    </row>
    <row r="70" spans="1:15" x14ac:dyDescent="0.25">
      <c r="A70">
        <v>2022</v>
      </c>
      <c r="B70" s="2" t="s">
        <v>23</v>
      </c>
      <c r="C70" s="3">
        <f>ROUND((160.07*0.6015)+(164.62*0.3985),2)</f>
        <v>161.88</v>
      </c>
      <c r="D70" s="3">
        <f>ROUND((168.17*0.5291)+(172.19*0.4709),2)</f>
        <v>170.06</v>
      </c>
      <c r="E70" s="3">
        <f>ROUND((155.67*0.5021)+(138.51*0.4979),2)</f>
        <v>147.13</v>
      </c>
      <c r="F70" s="3">
        <f>ROUND((158.48*0.5604)+(164.57*0.4396),2)</f>
        <v>161.16</v>
      </c>
      <c r="G70" s="3">
        <f>ROUND((151.06*0.6882)+(154.67*0.3118),2)</f>
        <v>152.19</v>
      </c>
      <c r="H70" s="3">
        <f>ROUND((155.73*0.6008)+(162.48*0.3992),2)</f>
        <v>158.41999999999999</v>
      </c>
      <c r="I70" s="3">
        <f>ROUND((167.16*0.498)+(166.87*0.502),2)</f>
        <v>167.01</v>
      </c>
      <c r="J70" s="3">
        <f>ROUND((182.29*0.625)+(178.44*0.375),2)</f>
        <v>180.85</v>
      </c>
      <c r="K70" s="3">
        <f>ROUND((112.57*0.6403)+(106.3*0.3597),2)</f>
        <v>110.31</v>
      </c>
      <c r="L70" s="3">
        <f>ROUND((132.47*0.6548)+(144.74*0.3452),2)</f>
        <v>136.71</v>
      </c>
      <c r="M70" s="3">
        <f>ROUND((159.39*0.7754)+(143.04*0.2246),2)</f>
        <v>155.72</v>
      </c>
      <c r="N70" s="3">
        <f>ROUND((160.94*0.6505)+(163.39*0.3495),2)</f>
        <v>161.80000000000001</v>
      </c>
      <c r="O70" s="3">
        <f>ROUND((167.48*0.5887)+(170.62*0.4113),2)</f>
        <v>168.77</v>
      </c>
    </row>
    <row r="71" spans="1:15" x14ac:dyDescent="0.25">
      <c r="A71">
        <v>2022</v>
      </c>
      <c r="B71" s="2" t="s">
        <v>24</v>
      </c>
      <c r="C71" s="3">
        <f>ROUND((162.63*0.6015)+(167.31*0.3985),2)</f>
        <v>164.49</v>
      </c>
      <c r="D71" s="3">
        <f>ROUND((175.41*0.5291)+(177.47*0.4709),2)</f>
        <v>176.38</v>
      </c>
      <c r="E71" s="3">
        <f>ROUND((160.86*0.5021)+(142.38*0.4979),2)</f>
        <v>151.66</v>
      </c>
      <c r="F71" s="3">
        <f>ROUND((161.57*0.5604)+(168.42*0.4396),2)</f>
        <v>164.58</v>
      </c>
      <c r="G71" s="3">
        <f>ROUND((150.11*0.6882)+(153.48*0.3118),2)</f>
        <v>151.16</v>
      </c>
      <c r="H71" s="3">
        <f>ROUND((158.29*0.6008)+(165*0.3992),2)</f>
        <v>160.97</v>
      </c>
      <c r="I71" s="3">
        <f>ROUND((168.5*0.498)+(168.39*0.502),2)</f>
        <v>168.44</v>
      </c>
      <c r="J71" s="3">
        <f>ROUND((183.31*0.625)+(178.83*0.375),2)</f>
        <v>181.63</v>
      </c>
      <c r="K71" s="3">
        <f>ROUND((112.58*0.6403)+(106.41*0.3597),2)</f>
        <v>110.36</v>
      </c>
      <c r="L71" s="3">
        <f>ROUND((132.71*0.6548)+(145.86*0.3452),2)</f>
        <v>137.25</v>
      </c>
      <c r="M71" s="3">
        <f>ROUND((160.26*0.7754)+(144.42*0.2246),2)</f>
        <v>156.69999999999999</v>
      </c>
      <c r="N71" s="3">
        <f>ROUND((161.24*0.6505)+(163.87*0.3495),2)</f>
        <v>162.16</v>
      </c>
      <c r="O71" s="3">
        <f>ROUND((168.57*0.5887)+(172.25*0.4113),2)</f>
        <v>170.08</v>
      </c>
    </row>
    <row r="72" spans="1:15" x14ac:dyDescent="0.25">
      <c r="A72">
        <v>2022</v>
      </c>
      <c r="B72" s="2" t="s">
        <v>25</v>
      </c>
      <c r="C72" s="3">
        <f>ROUND((163.13*0.6015)+(168.39*0.3985),2)</f>
        <v>165.23</v>
      </c>
      <c r="D72" s="3">
        <f>ROUND((177.05*0.5291)+(178.85*0.4709),2)</f>
        <v>177.9</v>
      </c>
      <c r="E72" s="3">
        <f>ROUND((168.24*0.5021)+(149.95*0.4979),2)</f>
        <v>159.13</v>
      </c>
      <c r="F72" s="3">
        <f>ROUND((162.38*0.5604)+(169.98*0.4396),2)</f>
        <v>165.72</v>
      </c>
      <c r="G72" s="3">
        <f>ROUND((146.71*0.6882)+(149.69*0.3118),2)</f>
        <v>147.63999999999999</v>
      </c>
      <c r="H72" s="3">
        <f>ROUND((161.43*0.6008)+(167.54*0.3992),2)</f>
        <v>163.87</v>
      </c>
      <c r="I72" s="3">
        <f>ROUND((169.14*0.498)+(169.35*0.502),2)</f>
        <v>169.25</v>
      </c>
      <c r="J72" s="3">
        <f>ROUND((188.65*0.625)+(183.22*0.375),2)</f>
        <v>186.61</v>
      </c>
      <c r="K72" s="3">
        <f>ROUND((112.82*0.6403)+(106.42*0.3597),2)</f>
        <v>110.52</v>
      </c>
      <c r="L72" s="3">
        <f>ROUND((136.64*0.6548)+(149.55*0.3452),2)</f>
        <v>141.1</v>
      </c>
      <c r="M72" s="3">
        <f>ROUND((161.96*0.7754)+(145.58*0.2246),2)</f>
        <v>158.28</v>
      </c>
      <c r="N72" s="3">
        <f>ROUND((162.26*0.6505)+(170.29*0.3495),2)</f>
        <v>165.07</v>
      </c>
      <c r="O72" s="3">
        <f>ROUND((170.38*0.5887)+(174.53*0.4113),2)</f>
        <v>172.09</v>
      </c>
    </row>
    <row r="73" spans="1:15" x14ac:dyDescent="0.25">
      <c r="A73">
        <v>2022</v>
      </c>
      <c r="B73" s="2" t="s">
        <v>26</v>
      </c>
      <c r="C73" s="3">
        <f>ROUND((173.23*0.6015)+(179.45*0.3985),2)</f>
        <v>175.71</v>
      </c>
      <c r="D73" s="3">
        <f>ROUND((185.86*0.5291)+(189.71*0.4709),2)</f>
        <v>187.67</v>
      </c>
      <c r="E73" s="3">
        <f>ROUND((182.04*0.5021)+(158.4*0.4979),2)</f>
        <v>170.27</v>
      </c>
      <c r="F73" s="3">
        <f>ROUND((167.25*0.5604)+(172.61*0.4396),2)</f>
        <v>169.61</v>
      </c>
      <c r="G73" s="3">
        <f>ROUND((157.02*0.6882)+(163.39*0.3118),2)</f>
        <v>159.01</v>
      </c>
      <c r="H73" s="3">
        <f>ROUND((165.68*0.6008)+(172.99*0.3992),2)</f>
        <v>168.6</v>
      </c>
      <c r="I73" s="3">
        <f>ROUND((171.46*0.498)+(171.19*0.502),2)</f>
        <v>171.32</v>
      </c>
      <c r="J73" s="3">
        <f>ROUND((233.01*0.625)+(230.64*0.375),2)</f>
        <v>232.12</v>
      </c>
      <c r="K73" s="3">
        <f>ROUND((113.09*0.6403)+(106.68*0.3597),2)</f>
        <v>110.78</v>
      </c>
      <c r="L73" s="3">
        <f>ROUND((140.84*0.6548)+(154.68*0.3452),2)</f>
        <v>145.62</v>
      </c>
      <c r="M73" s="3">
        <f>ROUND((162.1*0.7754)+(146.84*0.2246),2)</f>
        <v>158.66999999999999</v>
      </c>
      <c r="N73" s="3">
        <f>ROUND((173.02*0.6505)+(177.7*0.3495),2)</f>
        <v>174.66</v>
      </c>
      <c r="O73" s="3">
        <f>ROUND((176.62*0.5887)+(179.48*0.4113),2)</f>
        <v>177.8</v>
      </c>
    </row>
    <row r="74" spans="1:15" x14ac:dyDescent="0.25">
      <c r="A74">
        <v>2022</v>
      </c>
      <c r="B74" s="2" t="s">
        <v>15</v>
      </c>
      <c r="C74" s="3">
        <f>ROUND((180.95*0.6015)+(186.94*0.3985),2)</f>
        <v>183.34</v>
      </c>
      <c r="D74" s="3">
        <f>ROUND((193.75*0.5291)+(196.92*0.4709),2)</f>
        <v>195.24</v>
      </c>
      <c r="E74" s="3">
        <f>ROUND((187.28*0.5021)+(167.08*0.4979),2)</f>
        <v>177.22</v>
      </c>
      <c r="F74" s="3">
        <f>ROUND((168.85*0.5604)+(174.66*0.4396),2)</f>
        <v>171.4</v>
      </c>
      <c r="G74" s="3">
        <f>ROUND((170.45*0.6882)+(178.72*0.3118),2)</f>
        <v>173.03</v>
      </c>
      <c r="H74" s="3">
        <f>ROUND((168.11*0.6008)+(176.37*0.3992),2)</f>
        <v>171.41</v>
      </c>
      <c r="I74" s="3">
        <f>ROUND((171.68*0.498)+(171.62*0.502),2)</f>
        <v>171.65</v>
      </c>
      <c r="J74" s="3">
        <f>ROUND((246.08*0.625)+(243.87*0.375),2)</f>
        <v>245.25</v>
      </c>
      <c r="K74" s="3">
        <f>ROUND((113.57*0.6403)+(107.05*0.3597),2)</f>
        <v>111.22</v>
      </c>
      <c r="L74" s="3">
        <f>ROUND((142.58*0.6548)+(158.03*0.3452),2)</f>
        <v>147.91</v>
      </c>
      <c r="M74" s="3">
        <f>ROUND((162.6*0.7754)+(148.94*0.2246),2)</f>
        <v>159.53</v>
      </c>
      <c r="N74" s="3">
        <f>ROUND((178.75*0.6505)+(181.62*0.3495),2)</f>
        <v>179.75</v>
      </c>
      <c r="O74" s="3">
        <f>ROUND((179.12*0.5887)+(182.99*0.4113),2)</f>
        <v>180.71</v>
      </c>
    </row>
    <row r="75" spans="1:15" x14ac:dyDescent="0.25">
      <c r="A75">
        <v>2022</v>
      </c>
      <c r="B75" s="2" t="s">
        <v>16</v>
      </c>
      <c r="C75" s="3">
        <f>ROUND((185.72*0.6015)+(191.04*0.3985),2)</f>
        <v>187.84</v>
      </c>
      <c r="D75" s="3">
        <f>ROUND((196.59*0.5291)+(199.18*0.4709),2)</f>
        <v>197.81</v>
      </c>
      <c r="E75" s="3">
        <f>ROUND((193.6*0.5021)+(170.28*0.4979),2)</f>
        <v>181.99</v>
      </c>
      <c r="F75" s="3">
        <f>ROUND((174.62*0.5604)+(178.23*0.4396),2)</f>
        <v>176.21</v>
      </c>
      <c r="G75" s="3">
        <f>ROUND((179.33*0.6882)+(189.36*0.3118),2)</f>
        <v>182.46</v>
      </c>
      <c r="H75" s="3">
        <f>ROUND((171.9*0.6008)+(180.63*0.3992),2)</f>
        <v>175.39</v>
      </c>
      <c r="I75" s="3">
        <f>ROUND((174.36*0.498)+(172.92*0.502),2)</f>
        <v>173.64</v>
      </c>
      <c r="J75" s="3">
        <f>ROUND((245.69*0.625)+(242.64*0.375),2)</f>
        <v>244.55</v>
      </c>
      <c r="K75" s="3">
        <f>ROUND((113.61*0.6403)+(107.24*0.3597),2)</f>
        <v>111.32</v>
      </c>
      <c r="L75" s="3">
        <f>ROUND((151.58*0.6548)+(168.11*0.3452),2)</f>
        <v>157.29</v>
      </c>
      <c r="M75" s="3">
        <f>ROUND((163.68*0.7754)+(153.12*0.2246),2)</f>
        <v>161.31</v>
      </c>
      <c r="N75" s="3">
        <f>ROUND((182.8*0.6505)+(185.9*0.3495),2)</f>
        <v>183.88</v>
      </c>
      <c r="O75" s="3">
        <f>ROUND((185.12*0.5887)+(186.45*0.4113),2)</f>
        <v>185.67</v>
      </c>
    </row>
    <row r="76" spans="1:15" x14ac:dyDescent="0.25">
      <c r="A76">
        <v>2022</v>
      </c>
      <c r="B76" s="2" t="s">
        <v>17</v>
      </c>
      <c r="C76" s="3">
        <f>ROUND((181.9*0.6015)+(191.38*0.3985),2)</f>
        <v>185.68</v>
      </c>
      <c r="D76" s="3">
        <f>ROUND((207.23*0.5291)+(211.44*0.4709),2)</f>
        <v>209.21</v>
      </c>
      <c r="E76" s="3">
        <f>ROUND((206.74*0.5021)+(178.49*0.4979),2)</f>
        <v>192.67</v>
      </c>
      <c r="F76" s="3">
        <f>ROUND((174.86*0.5604)+(179.11*0.4396),2)</f>
        <v>176.73</v>
      </c>
      <c r="G76" s="3">
        <f>ROUND((147.5*0.6882)+(156.28*0.3118),2)</f>
        <v>150.24</v>
      </c>
      <c r="H76" s="3">
        <f>ROUND((179.01*0.6008)+(184.89*0.3992),2)</f>
        <v>181.36</v>
      </c>
      <c r="I76" s="3">
        <f>ROUND((176.15*0.498)+(178.73*0.502),2)</f>
        <v>177.45</v>
      </c>
      <c r="J76" s="3">
        <f>ROUND((250.71*0.625)+(248.72*0.375),2)</f>
        <v>249.96</v>
      </c>
      <c r="K76" s="3">
        <f>ROUND((113.68*0.6403)+(107.32*0.3597),2)</f>
        <v>111.39</v>
      </c>
      <c r="L76" s="3">
        <f>ROUND((154.54*0.6548)+(171.77*0.3452),2)</f>
        <v>160.49</v>
      </c>
      <c r="M76" s="3">
        <f>ROUND((163.69*0.7754)+(153.12*0.2246),2)</f>
        <v>161.32</v>
      </c>
      <c r="N76" s="3">
        <f>ROUND((187.9*0.6505)+(188.21*0.3495),2)</f>
        <v>188.01</v>
      </c>
      <c r="O76" s="3">
        <f>ROUND((192.34*0.5887)+(193.29*0.4113),2)</f>
        <v>192.73</v>
      </c>
    </row>
    <row r="77" spans="1:15" x14ac:dyDescent="0.25">
      <c r="A77">
        <v>2022</v>
      </c>
      <c r="B77" s="2" t="s">
        <v>18</v>
      </c>
      <c r="C77" s="3">
        <f>ROUND((190.08*0.6015)+(200.96*0.3985),2)</f>
        <v>194.42</v>
      </c>
      <c r="D77" s="3">
        <f>ROUND((217.09*0.5291)+(225.37*0.4709),2)</f>
        <v>220.99</v>
      </c>
      <c r="E77" s="3">
        <f>ROUND((209.33*0.5021)+(182.99*0.4979),2)</f>
        <v>196.22</v>
      </c>
      <c r="F77" s="3">
        <f>ROUND((176.6*0.5604)+(180.87*0.4396),2)</f>
        <v>178.48</v>
      </c>
      <c r="G77" s="3">
        <f>ROUND((163.5*0.6882)+(173.31*0.3118),2)</f>
        <v>166.56</v>
      </c>
      <c r="H77" s="3">
        <f>ROUND((184.97*0.6008)+(188.95*0.3992),2)</f>
        <v>186.56</v>
      </c>
      <c r="I77" s="3">
        <f>ROUND((179.22*0.498)+(185.7*0.502),2)</f>
        <v>182.47</v>
      </c>
      <c r="J77" s="3">
        <f>ROUND((245.33*0.625)+(245.62*0.375),2)</f>
        <v>245.44</v>
      </c>
      <c r="K77" s="3">
        <f>ROUND((114.37*0.6403)+(107.33*0.3597),2)</f>
        <v>111.84</v>
      </c>
      <c r="L77" s="3">
        <f>ROUND((157.14*0.6548)+(175.86*0.3452),2)</f>
        <v>163.6</v>
      </c>
      <c r="M77" s="3">
        <f>ROUND((165.49*0.7754)+(153.81*0.2246),2)</f>
        <v>162.87</v>
      </c>
      <c r="N77" s="3">
        <f>ROUND((193.58*0.6505)+(191.32*0.3495),2)</f>
        <v>192.79</v>
      </c>
      <c r="O77" s="3">
        <f>ROUND((195.11*0.5887)+(193.59*0.4113),2)</f>
        <v>194.48</v>
      </c>
    </row>
    <row r="78" spans="1:15" x14ac:dyDescent="0.25">
      <c r="A78">
        <v>2022</v>
      </c>
      <c r="B78" s="2" t="s">
        <v>19</v>
      </c>
      <c r="C78" s="3">
        <f>ROUND((190.8*0.6015)+(203.57*0.3985),2)</f>
        <v>195.89</v>
      </c>
      <c r="D78" s="3">
        <f>ROUND((216.54*0.5291)+(226.31*0.4709),2)</f>
        <v>221.14</v>
      </c>
      <c r="E78" s="3">
        <f>ROUND((212.67*0.5021)+(184.13*0.4979),2)</f>
        <v>198.46</v>
      </c>
      <c r="F78" s="3">
        <f>ROUND((178.94*0.5604)+(186.63*0.4396),2)</f>
        <v>182.32</v>
      </c>
      <c r="G78" s="3">
        <f>ROUND((163.42*0.6882)+(176.43*0.3118),2)</f>
        <v>167.48</v>
      </c>
      <c r="H78" s="3">
        <f>ROUND((189.7*0.6008)+(195.05*0.3992),2)</f>
        <v>191.84</v>
      </c>
      <c r="I78" s="3">
        <f>ROUND((182*0.498)+(190.01*0.502),2)</f>
        <v>186.02</v>
      </c>
      <c r="J78" s="3">
        <f>ROUND((245.03*0.625)+(245.68*0.375),2)</f>
        <v>245.27</v>
      </c>
      <c r="K78" s="3">
        <f>ROUND((114.4*0.6403)+(107.43*0.3597),2)</f>
        <v>111.89</v>
      </c>
      <c r="L78" s="3">
        <f>ROUND((158.91*0.6548)+(181.76*0.3452),2)</f>
        <v>166.8</v>
      </c>
      <c r="M78" s="3">
        <f>ROUND((165.87*0.7754)+(155.1*0.2246),2)</f>
        <v>163.44999999999999</v>
      </c>
      <c r="N78" s="3">
        <f>ROUND((196.97*0.6505)+(195.67*0.3495),2)</f>
        <v>196.52</v>
      </c>
      <c r="O78" s="3">
        <f>ROUND((198.51*0.5887)+(199.72*0.4113),2)</f>
        <v>199.01</v>
      </c>
    </row>
    <row r="79" spans="1:15" x14ac:dyDescent="0.25">
      <c r="A79">
        <v>2022</v>
      </c>
      <c r="B79" s="2" t="s">
        <v>20</v>
      </c>
      <c r="C79" s="3">
        <f>ROUND((191.46*0.6015)+(205*0.3985),2)</f>
        <v>196.86</v>
      </c>
      <c r="D79" s="3">
        <f>ROUND((215.98*0.5291)+(226.26*0.4709),2)</f>
        <v>220.82</v>
      </c>
      <c r="E79" s="3">
        <f>ROUND((213.06*0.5021)+(185.8*0.4979),2)</f>
        <v>199.49</v>
      </c>
      <c r="F79" s="3">
        <f>ROUND((180.13*0.5604)+(188.07*0.4396),2)</f>
        <v>183.62</v>
      </c>
      <c r="G79" s="3">
        <f>ROUND((162.56*0.6882)+(178.43*0.3118),2)</f>
        <v>167.51</v>
      </c>
      <c r="H79" s="3">
        <f>ROUND((194.05*0.6008)+(200.06*0.3992),2)</f>
        <v>196.45</v>
      </c>
      <c r="I79" s="3">
        <f>ROUND((183.92*0.498)+(195.3*0.502),2)</f>
        <v>189.63</v>
      </c>
      <c r="J79" s="3">
        <f>ROUND((243.22*0.625)+(243.38*0.375),2)</f>
        <v>243.28</v>
      </c>
      <c r="K79" s="3">
        <f>ROUND((114.49*0.6403)+(107.45*0.3597),2)</f>
        <v>111.96</v>
      </c>
      <c r="L79" s="3">
        <f>ROUND((180.24*0.6548)+(194.09*0.3452),2)</f>
        <v>185.02</v>
      </c>
      <c r="M79" s="3">
        <f>ROUND((166.24*0.7754)+(155.76*0.2246),2)</f>
        <v>163.89</v>
      </c>
      <c r="N79" s="3">
        <f>ROUND((200.18*0.6505)+(196.96*0.3495),2)</f>
        <v>199.05</v>
      </c>
      <c r="O79" s="3">
        <f>ROUND((203.2*0.5887)+(207.55*0.4113),2)</f>
        <v>204.99</v>
      </c>
    </row>
    <row r="80" spans="1:15" x14ac:dyDescent="0.25">
      <c r="A80">
        <v>2023</v>
      </c>
      <c r="B80" s="2" t="s">
        <v>21</v>
      </c>
      <c r="C80" s="3">
        <f>ROUND((195.97*0.6015)+(212.43*0.3985),2)</f>
        <v>202.53</v>
      </c>
      <c r="D80" s="3">
        <f>ROUND((224.73*0.5291)+(239.93*0.4709),2)</f>
        <v>231.89</v>
      </c>
      <c r="E80" s="3">
        <f>ROUND((213.22*0.5021)+(186.61*0.4979),2)</f>
        <v>199.97</v>
      </c>
      <c r="F80" s="3">
        <f>ROUND((181.13*0.5604)+(188.83*0.4396),2)</f>
        <v>184.51</v>
      </c>
      <c r="G80" s="3">
        <f>ROUND((164.86*0.6882)+(183.03*0.3118),2)</f>
        <v>170.53</v>
      </c>
      <c r="H80" s="3">
        <f>ROUND((196.16*0.6008)+(204.69*0.3992),2)</f>
        <v>199.57</v>
      </c>
      <c r="I80" s="3">
        <f>ROUND((190.17*0.498)+(196.06*0.502),2)</f>
        <v>193.13</v>
      </c>
      <c r="J80" s="3">
        <f>ROUND((242.19*0.625)+(242.09*0.375),2)</f>
        <v>242.15</v>
      </c>
      <c r="K80" s="3">
        <f>ROUND((114.53*0.6403)+(107.5*0.3597),2)</f>
        <v>112</v>
      </c>
      <c r="L80" s="3">
        <f>ROUND((188.05*0.6548)+(203.54*0.3452),2)</f>
        <v>193.4</v>
      </c>
      <c r="M80" s="3">
        <f>ROUND((166.36*0.7754)+(156.09*0.2246),2)</f>
        <v>164.05</v>
      </c>
      <c r="N80" s="3">
        <f>ROUND((207.39*0.6505)+(201.46*0.3495),2)</f>
        <v>205.32</v>
      </c>
      <c r="O80" s="3">
        <f>ROUND((209.39*0.5887)+(214.48*0.4113),2)</f>
        <v>211.48</v>
      </c>
    </row>
    <row r="81" spans="1:15" x14ac:dyDescent="0.25">
      <c r="A81">
        <v>2023</v>
      </c>
      <c r="B81" s="2" t="s">
        <v>22</v>
      </c>
      <c r="C81" s="3">
        <f>ROUND((204.87*0.6015)+(220.95*0.3985),2)</f>
        <v>211.28</v>
      </c>
      <c r="D81" s="3">
        <f>ROUND((234.18*0.5291)+(249.25*0.4709),2)</f>
        <v>241.28</v>
      </c>
      <c r="E81" s="3">
        <f>ROUND((240.99*0.5021)+(197.68*0.4979),2)</f>
        <v>219.43</v>
      </c>
      <c r="F81" s="3">
        <f>ROUND((183.44*0.5604)+(190.75*0.4396),2)</f>
        <v>186.65</v>
      </c>
      <c r="G81" s="3">
        <f>ROUND((171.88*0.6882)+(187.75*0.3118),2)</f>
        <v>176.83</v>
      </c>
      <c r="H81" s="3">
        <f>ROUND((206.59*0.6008)+(213.91*0.3992),2)</f>
        <v>209.51</v>
      </c>
      <c r="I81" s="3">
        <f>ROUND((196.23*0.498)+(198.27*0.502),2)</f>
        <v>197.25</v>
      </c>
      <c r="J81" s="3">
        <f>ROUND((271.89*0.625)+(270.16*0.375),2)</f>
        <v>271.24</v>
      </c>
      <c r="K81" s="3">
        <f>ROUND((117.76*0.6403)+(108.3*0.3597),2)</f>
        <v>114.36</v>
      </c>
      <c r="L81" s="3">
        <f>ROUND((194.76*0.6548)+(209.12*0.3452),2)</f>
        <v>199.72</v>
      </c>
      <c r="M81" s="3">
        <f>ROUND((166.56*0.7754)+(158.74*0.2246),2)</f>
        <v>164.8</v>
      </c>
      <c r="N81" s="3">
        <f>ROUND((216.08*0.6505)+(215.32*0.3495),2)</f>
        <v>215.81</v>
      </c>
      <c r="O81" s="3">
        <f>ROUND((219.3*0.5887)+(224.3*0.4113),2)</f>
        <v>221.36</v>
      </c>
    </row>
    <row r="82" spans="1:15" x14ac:dyDescent="0.25">
      <c r="A82">
        <v>2023</v>
      </c>
      <c r="B82" s="2" t="s">
        <v>23</v>
      </c>
      <c r="C82" s="3">
        <f>ROUND((212.85*0.6015)+(228.63*0.3985),2)</f>
        <v>219.14</v>
      </c>
      <c r="D82" s="3">
        <f>ROUND((244.66*0.5291)+(256.54*0.4709),2)</f>
        <v>250.25</v>
      </c>
      <c r="E82" s="3">
        <f>ROUND((374.9*0.5021)+(331.19*0.4979),2)</f>
        <v>353.14</v>
      </c>
      <c r="F82" s="3">
        <f>ROUND((194.04*0.5604)+(199.63*0.4396),2)</f>
        <v>196.5</v>
      </c>
      <c r="G82" s="3">
        <f>ROUND((173.72*0.6882)+(190.01*0.3118),2)</f>
        <v>178.8</v>
      </c>
      <c r="H82" s="3">
        <f>ROUND((217.4*0.6008)+(224.41*0.3992),2)</f>
        <v>220.2</v>
      </c>
      <c r="I82" s="3">
        <f>ROUND((197.03*0.498)+(198.64*0.502),2)</f>
        <v>197.84</v>
      </c>
      <c r="J82" s="3">
        <f>ROUND((281.79*0.625)+(277.55*0.375),2)</f>
        <v>280.2</v>
      </c>
      <c r="K82" s="3">
        <f>ROUND((122.1*0.6403)+(109.7*0.3597),2)</f>
        <v>117.64</v>
      </c>
      <c r="L82" s="3">
        <f>ROUND((200.57*0.6548)+(215.91*0.3452),2)</f>
        <v>205.87</v>
      </c>
      <c r="M82" s="3">
        <f>ROUND((168.64*0.7754)+(160.9*0.2246),2)</f>
        <v>166.9</v>
      </c>
      <c r="N82" s="3">
        <f>ROUND((225.06*0.6505)+(222.37*0.3495),2)</f>
        <v>224.12</v>
      </c>
      <c r="O82" s="3">
        <f>ROUND((224.93*0.5887)+(229.69*0.4113),2)</f>
        <v>226.89</v>
      </c>
    </row>
    <row r="83" spans="1:15" x14ac:dyDescent="0.25">
      <c r="A83">
        <v>2023</v>
      </c>
      <c r="B83" s="2" t="s">
        <v>24</v>
      </c>
      <c r="C83" s="3">
        <f>ROUND((217.11*0.6015)+(235.43*0.3985),2)</f>
        <v>224.41</v>
      </c>
      <c r="D83" s="3">
        <f>ROUND((254.53*0.5291)+(268.63*0.4709),2)</f>
        <v>261.17</v>
      </c>
      <c r="E83" s="3">
        <f>ROUND((375.93*0.5021)+(332.23*0.4979),2)</f>
        <v>354.17</v>
      </c>
      <c r="F83" s="3">
        <f>ROUND((196.25*0.5604)+(205.17*0.4396),2)</f>
        <v>200.17</v>
      </c>
      <c r="G83" s="3">
        <f>ROUND((171.9*0.6882)+(187.51*0.3118),2)</f>
        <v>176.77</v>
      </c>
      <c r="H83" s="3">
        <f>ROUND((222.82*0.6008)+(231.29*0.3992),2)</f>
        <v>226.2</v>
      </c>
      <c r="I83" s="3">
        <f>ROUND((200.69*0.498)+(199.43*0.502),2)</f>
        <v>200.06</v>
      </c>
      <c r="J83" s="3">
        <f>ROUND((285.69*0.625)+(283.17*0.375),2)</f>
        <v>284.75</v>
      </c>
      <c r="K83" s="3">
        <f>ROUND((122.29*0.6403)+(109.82*0.3597),2)</f>
        <v>117.8</v>
      </c>
      <c r="L83" s="3">
        <f>ROUND((223.56*0.6548)+(246.28*0.3452),2)</f>
        <v>231.4</v>
      </c>
      <c r="M83" s="3">
        <f>ROUND((169.92*0.7754)+(170.38*0.2246),2)</f>
        <v>170.02</v>
      </c>
      <c r="N83" s="3">
        <f>ROUND((226.36*0.6505)+(223.9*0.3495),2)</f>
        <v>225.5</v>
      </c>
      <c r="O83" s="3">
        <f>ROUND((234.41*0.5887)+(238.63*0.4113),2)</f>
        <v>236.15</v>
      </c>
    </row>
    <row r="84" spans="1:15" x14ac:dyDescent="0.25">
      <c r="A84">
        <v>2023</v>
      </c>
      <c r="B84" s="2" t="s">
        <v>25</v>
      </c>
      <c r="C84" s="3">
        <f>ROUND((220.37*0.6015)+(239.42*0.3985),2)</f>
        <v>227.96</v>
      </c>
      <c r="D84" s="3">
        <f>ROUND((258.05*0.5291)+(271.64*0.4709),2)</f>
        <v>264.45</v>
      </c>
      <c r="E84" s="3">
        <f>ROUND((377.76*0.5021)+(334.86*0.4979),2)</f>
        <v>356.4</v>
      </c>
      <c r="F84" s="3">
        <f>ROUND((197*0.5604)+(210.54*0.4396),2)</f>
        <v>202.95</v>
      </c>
      <c r="G84" s="3">
        <f>ROUND((173.07*0.6882)+(188.64*0.3118),2)</f>
        <v>177.92</v>
      </c>
      <c r="H84" s="3">
        <f>ROUND((229.36*0.6008)+(243.71*0.3992),2)</f>
        <v>235.09</v>
      </c>
      <c r="I84" s="3">
        <f>ROUND((201.87*0.498)+(202.01*0.502),2)</f>
        <v>201.94</v>
      </c>
      <c r="J84" s="3">
        <f>ROUND((285.67*0.625)+(284.85*0.375),2)</f>
        <v>285.36</v>
      </c>
      <c r="K84" s="3">
        <f>ROUND((123*0.6403)+(109.85*0.3597),2)</f>
        <v>118.27</v>
      </c>
      <c r="L84" s="3">
        <f>ROUND((234.43*0.6548)+(259.06*0.3452),2)</f>
        <v>242.93</v>
      </c>
      <c r="M84" s="3">
        <f>ROUND((171.25*0.7754)+(172.94*0.2246),2)</f>
        <v>171.63</v>
      </c>
      <c r="N84" s="3">
        <f>ROUND((237.02*0.6505)+(231.43*0.3495),2)</f>
        <v>235.07</v>
      </c>
      <c r="O84" s="3">
        <f>ROUND((243.64*0.5887)+(250.94*0.4113),2)</f>
        <v>246.64</v>
      </c>
    </row>
    <row r="85" spans="1:15" x14ac:dyDescent="0.25">
      <c r="A85">
        <v>2023</v>
      </c>
      <c r="B85" s="2" t="s">
        <v>26</v>
      </c>
      <c r="C85" s="3">
        <f>ROUND((220.59*0.6015)+(237.61*0.3985),2)</f>
        <v>227.37</v>
      </c>
      <c r="D85" s="3">
        <f>ROUND((257.65*0.5291)+(266.42*0.4709),2)</f>
        <v>261.77999999999997</v>
      </c>
      <c r="E85" s="3">
        <f>ROUND((377.89*0.5021)+(335.47*0.4979),2)</f>
        <v>356.77</v>
      </c>
      <c r="F85" s="3">
        <f>ROUND((199.16*0.5604)+(212.8*0.4396),2)</f>
        <v>205.16</v>
      </c>
      <c r="G85" s="3">
        <f>ROUND((172.95*0.6882)+(187.58*0.3118),2)</f>
        <v>177.51</v>
      </c>
      <c r="H85" s="3">
        <f>ROUND((233.01*0.6008)+(247.55*0.3992),2)</f>
        <v>238.81</v>
      </c>
      <c r="I85" s="3">
        <f>ROUND((203.22*0.498)+(204.97*0.502),2)</f>
        <v>204.1</v>
      </c>
      <c r="J85" s="3">
        <f>ROUND((279.52*0.625)+(278.77*0.375),2)</f>
        <v>279.24</v>
      </c>
      <c r="K85" s="3">
        <f>ROUND((123.07*0.6403)+(109.88*0.3597),2)</f>
        <v>118.33</v>
      </c>
      <c r="L85" s="3">
        <f>ROUND((235.57*0.6548)+(261.73*0.3452),2)</f>
        <v>244.6</v>
      </c>
      <c r="M85" s="3">
        <f>ROUND((171.65*0.7754)+(174.37*0.2246),2)</f>
        <v>172.26</v>
      </c>
      <c r="N85" s="3">
        <f>ROUND((240.11*0.6505)+(234.81*0.3495),2)</f>
        <v>238.26</v>
      </c>
      <c r="O85" s="3">
        <f>ROUND((246.46*0.5887)+(252.93*0.4113),2)</f>
        <v>249.12</v>
      </c>
    </row>
    <row r="86" spans="1:15" x14ac:dyDescent="0.25">
      <c r="A86">
        <v>2023</v>
      </c>
      <c r="B86" s="2" t="s">
        <v>15</v>
      </c>
      <c r="C86" s="3">
        <f>ROUND((228.47*0.6015)+(245.44*0.3985),2)</f>
        <v>235.23</v>
      </c>
      <c r="D86" s="3">
        <f>ROUND((268.74*0.5291)+(276.6*0.4709),2)</f>
        <v>272.44</v>
      </c>
      <c r="E86" s="3">
        <f>ROUND((379.48*0.5021)+(336.7*0.4979),2)</f>
        <v>358.18</v>
      </c>
      <c r="F86" s="3">
        <f>ROUND((200.25*0.5604)+(214*0.4396),2)</f>
        <v>206.29</v>
      </c>
      <c r="G86" s="3">
        <f>ROUND((186.79*0.6882)+(202.83*0.3118),2)</f>
        <v>191.79</v>
      </c>
      <c r="H86" s="3">
        <f>ROUND((237.21*0.6008)+(251.46*0.3992),2)</f>
        <v>242.9</v>
      </c>
      <c r="I86" s="3">
        <f>ROUND((209.2*0.498)+(207.96*0.502),2)</f>
        <v>208.58</v>
      </c>
      <c r="J86" s="3">
        <f>ROUND((279.49*0.625)+(277.13*0.375),2)</f>
        <v>278.61</v>
      </c>
      <c r="K86" s="3">
        <f>ROUND((123.76*0.6403)+(110.03*0.3597),2)</f>
        <v>118.82</v>
      </c>
      <c r="L86" s="3">
        <f>ROUND((236.46*0.6548)+(262.18*0.3452),2)</f>
        <v>245.34</v>
      </c>
      <c r="M86" s="3">
        <f>ROUND((171.66*0.7754)+(174.37*0.2246),2)</f>
        <v>172.27</v>
      </c>
      <c r="N86" s="3">
        <f>ROUND((242.65*0.6505)+(241.48*0.3495),2)</f>
        <v>242.24</v>
      </c>
      <c r="O86" s="3">
        <f>ROUND((249.16*0.5887)+(255.32*0.4113),2)</f>
        <v>251.69</v>
      </c>
    </row>
    <row r="87" spans="1:15" x14ac:dyDescent="0.25">
      <c r="A87">
        <v>2023</v>
      </c>
      <c r="B87" s="2" t="s">
        <v>16</v>
      </c>
      <c r="C87" s="3">
        <f>ROUND((232.12*0.6015)+(250.06*0.3985),2)</f>
        <v>239.27</v>
      </c>
      <c r="D87" s="3">
        <f>ROUND((269.77*0.5291)+(278.73*0.4709),2)</f>
        <v>273.99</v>
      </c>
      <c r="E87" s="3">
        <f>ROUND((380.5*0.5021)+(338.23*0.4979),2)</f>
        <v>359.45</v>
      </c>
      <c r="F87" s="3">
        <f>ROUND((202.6*0.5604)+(216.56*0.4396),2)</f>
        <v>208.74</v>
      </c>
      <c r="G87" s="3">
        <f>ROUND((188.75*0.6882)+(205.13*0.3118),2)</f>
        <v>193.86</v>
      </c>
      <c r="H87" s="3">
        <f>ROUND((243*0.6008)+(256.88*0.3992),2)</f>
        <v>248.54</v>
      </c>
      <c r="I87" s="3">
        <f>ROUND((213.56*0.498)+(212.04*0.502),2)</f>
        <v>212.8</v>
      </c>
      <c r="J87" s="3">
        <f>ROUND((296.49*0.625)+(307.67*0.375),2)</f>
        <v>300.68</v>
      </c>
      <c r="K87" s="3">
        <f>ROUND((123.77*0.6403)+(110.9*0.3597),2)</f>
        <v>119.14</v>
      </c>
      <c r="L87" s="3">
        <f>ROUND((245.05*0.6548)+(270.46*0.3452),2)</f>
        <v>253.82</v>
      </c>
      <c r="M87" s="3">
        <f>ROUND((177.89*0.7754)+(179.23*0.2246),2)</f>
        <v>178.19</v>
      </c>
      <c r="N87" s="3">
        <f>ROUND((247.58*0.6505)+(244.66*0.3495),2)</f>
        <v>246.56</v>
      </c>
      <c r="O87" s="3">
        <f>ROUND((257.91*0.5887)+(266.63*0.4113),2)</f>
        <v>261.5</v>
      </c>
    </row>
    <row r="88" spans="1:15" x14ac:dyDescent="0.25">
      <c r="A88">
        <v>2023</v>
      </c>
      <c r="B88" s="2" t="s">
        <v>17</v>
      </c>
      <c r="C88" s="3">
        <f>ROUND((235.99*0.6015)+(256.21*0.3985),2)</f>
        <v>244.05</v>
      </c>
      <c r="D88" s="3">
        <f>ROUND((273.95*0.5291)+(283.57*0.4709),2)</f>
        <v>278.48</v>
      </c>
      <c r="E88" s="3">
        <f>ROUND((382.08*0.5021)+(340.06*0.4979),2)</f>
        <v>361.16</v>
      </c>
      <c r="F88" s="3">
        <f>ROUND((205.7*0.5604)+(222.41*0.4396),2)</f>
        <v>213.05</v>
      </c>
      <c r="G88" s="3">
        <f>ROUND((189.18*0.6882)+(207.41*0.3118),2)</f>
        <v>194.86</v>
      </c>
      <c r="H88" s="3">
        <f>ROUND((246.47*0.6008)+(262*0.3992),2)</f>
        <v>252.67</v>
      </c>
      <c r="I88" s="3">
        <f>ROUND((223.51*0.498)+(221.11*0.502),2)</f>
        <v>222.31</v>
      </c>
      <c r="J88" s="3">
        <f>ROUND((319.47*0.625)+(342.5*0.375),2)</f>
        <v>328.11</v>
      </c>
      <c r="K88" s="3">
        <f>ROUND((124.41*0.6403)+(111.21*0.3597),2)</f>
        <v>119.66</v>
      </c>
      <c r="L88" s="3">
        <f>ROUND((245.62*0.6548)+(272.22*0.3452),2)</f>
        <v>254.8</v>
      </c>
      <c r="M88" s="3">
        <f>ROUND((178.55*0.7754)+(181.67*0.2246),2)</f>
        <v>179.25</v>
      </c>
      <c r="N88" s="3">
        <f>ROUND((252.06*0.6505)+(253.31*0.3495),2)</f>
        <v>252.5</v>
      </c>
      <c r="O88" s="3">
        <f>ROUND((259.03*0.5887)+(268.51*0.4113),2)</f>
        <v>262.93</v>
      </c>
    </row>
    <row r="89" spans="1:15" x14ac:dyDescent="0.25">
      <c r="A89">
        <v>2023</v>
      </c>
      <c r="B89" s="2" t="s">
        <v>18</v>
      </c>
      <c r="C89" s="3">
        <f>ROUND((238.51*0.6015)+(258.57*0.3985),2)</f>
        <v>246.5</v>
      </c>
      <c r="D89" s="3">
        <f>ROUND((275.74*0.5291)+(285.35*0.4709),2)</f>
        <v>280.27</v>
      </c>
      <c r="E89" s="3">
        <f>ROUND((382.4*0.5021)+(341.92*0.4979),2)</f>
        <v>362.25</v>
      </c>
      <c r="F89" s="3">
        <f>ROUND((207.5*0.5604)+(225.27*0.4396),2)</f>
        <v>215.31</v>
      </c>
      <c r="G89" s="3">
        <f>ROUND((194.82*0.6882)+(213.67*0.3118),2)</f>
        <v>200.7</v>
      </c>
      <c r="H89" s="3">
        <f>ROUND((248.56*0.6008)+(266.82*0.3992),2)</f>
        <v>255.85</v>
      </c>
      <c r="I89" s="3">
        <f>ROUND((229.53*0.498)+(227.35*0.502),2)</f>
        <v>228.44</v>
      </c>
      <c r="J89" s="3">
        <f>ROUND((310.68*0.625)+(333.42*0.375),2)</f>
        <v>319.20999999999998</v>
      </c>
      <c r="K89" s="3">
        <f>ROUND((124.83*0.6403)+(111.61*0.3597),2)</f>
        <v>120.07</v>
      </c>
      <c r="L89" s="3">
        <f>ROUND((245.87*0.6548)+(274.57*0.3452),2)</f>
        <v>255.78</v>
      </c>
      <c r="M89" s="3">
        <f>ROUND((184.31*0.7754)+(181.78*0.2246),2)</f>
        <v>183.74</v>
      </c>
      <c r="N89" s="3">
        <f>ROUND((256.43*0.6505)+(256.62*0.3495),2)</f>
        <v>256.5</v>
      </c>
      <c r="O89" s="3">
        <f>ROUND((258.91*0.5887)+(268.87*0.4113),2)</f>
        <v>263.01</v>
      </c>
    </row>
    <row r="90" spans="1:15" x14ac:dyDescent="0.25">
      <c r="A90">
        <v>2023</v>
      </c>
      <c r="B90" s="2" t="s">
        <v>19</v>
      </c>
      <c r="C90" s="3">
        <f>ROUND((248.87*0.6015)+(259.61*0.3985),2)</f>
        <v>253.15</v>
      </c>
      <c r="D90" s="3">
        <f>ROUND((278.07*0.5291)+(288.43*0.4709),2)</f>
        <v>282.95</v>
      </c>
      <c r="E90" s="3">
        <f>ROUND((382.32*0.5021)+(343.26*0.4979),2)</f>
        <v>362.87</v>
      </c>
      <c r="F90" s="3">
        <f>ROUND((211.64*0.5604)+(231.52*0.4396),2)</f>
        <v>220.38</v>
      </c>
      <c r="G90" s="3">
        <f>ROUND((229.11*0.6882)+(208.53*0.3118),2)</f>
        <v>222.69</v>
      </c>
      <c r="H90" s="3">
        <f>ROUND((250.25*0.6008)+(269.71*0.3992),2)</f>
        <v>258.02</v>
      </c>
      <c r="I90" s="3">
        <f>ROUND((232.12*0.498)+(232.43*0.502),2)</f>
        <v>232.28</v>
      </c>
      <c r="J90" s="3">
        <f>ROUND((302.48*0.625)+(323.43*0.375),2)</f>
        <v>310.33999999999997</v>
      </c>
      <c r="K90" s="3">
        <f>ROUND((125*0.6403)+(111.61*0.3597),2)</f>
        <v>120.18</v>
      </c>
      <c r="L90" s="3">
        <f>ROUND((245.81*0.6548)+(275.74*0.3452),2)</f>
        <v>256.14</v>
      </c>
      <c r="M90" s="3">
        <f>ROUND((186.73*0.7754)+(181.78*0.2246),2)</f>
        <v>185.62</v>
      </c>
      <c r="N90" s="3">
        <f>ROUND((258.07*0.6505)+(258.73*0.3495),2)</f>
        <v>258.3</v>
      </c>
      <c r="O90" s="3">
        <f>ROUND((262.84*0.5887)+(273.42*0.4113),2)</f>
        <v>267.19</v>
      </c>
    </row>
    <row r="91" spans="1:15" x14ac:dyDescent="0.25">
      <c r="A91">
        <v>2023</v>
      </c>
      <c r="B91" s="2" t="s">
        <v>20</v>
      </c>
      <c r="C91" s="3">
        <f>ROUND((250.68*0.6015)+(262.11*0.3985),2)</f>
        <v>255.23</v>
      </c>
      <c r="D91" s="3">
        <f>ROUND((275.22*0.5291)+(288.66*0.4709),2)</f>
        <v>281.55</v>
      </c>
      <c r="E91" s="3">
        <f>ROUND((385.43*0.5021)+(343.84*0.4979),2)</f>
        <v>364.72</v>
      </c>
      <c r="F91" s="3">
        <f>ROUND((212.48*0.5604)+(233.32*0.4396),2)</f>
        <v>221.64</v>
      </c>
      <c r="G91" s="3">
        <f>ROUND((236.27*0.6882)+(218.16*0.3118),2)</f>
        <v>230.62</v>
      </c>
      <c r="H91" s="3">
        <f>ROUND((252.29*0.6008)+(272.51*0.3992),2)</f>
        <v>260.36</v>
      </c>
      <c r="I91" s="3">
        <f>ROUND((234.2*0.498)+(233.67*0.502),2)</f>
        <v>233.93</v>
      </c>
      <c r="J91" s="3">
        <f>ROUND((305.96*0.625)+(324.36*0.375),2)</f>
        <v>312.86</v>
      </c>
      <c r="K91" s="3">
        <f>ROUND((125.01*0.6403)+(111.63*0.3597),2)</f>
        <v>120.2</v>
      </c>
      <c r="L91" s="3">
        <f>ROUND((245.92*0.6548)+(275.74*0.3452),2)</f>
        <v>256.20999999999998</v>
      </c>
      <c r="M91" s="3">
        <f>ROUND((187.28*0.7754)+(181.78*0.2246),2)</f>
        <v>186.04</v>
      </c>
      <c r="N91" s="3">
        <f>ROUND((260.11*0.6505)+(260.26*0.3495),2)</f>
        <v>260.16000000000003</v>
      </c>
      <c r="O91" s="3">
        <f>ROUND((265.25*0.5887)+(276.26*0.4113),2)</f>
        <v>269.77999999999997</v>
      </c>
    </row>
    <row r="92" spans="1:15" x14ac:dyDescent="0.25">
      <c r="A92">
        <v>2024</v>
      </c>
      <c r="B92" s="2" t="s">
        <v>21</v>
      </c>
      <c r="C92" s="3">
        <f>ROUND((255.22*0.6015)+(267.01*0.3985),2)</f>
        <v>259.92</v>
      </c>
      <c r="D92" s="3">
        <f>ROUND((284.23*0.5291)+(295.99*0.4709),2)</f>
        <v>289.77</v>
      </c>
      <c r="E92" s="3">
        <f>ROUND((385.76*0.5021)+(344.33*0.4979),2)</f>
        <v>365.13</v>
      </c>
      <c r="F92" s="3">
        <f>ROUND((213.55*0.5604)+(235.68*0.4396),2)</f>
        <v>223.28</v>
      </c>
      <c r="G92" s="3">
        <f>ROUND((241.33*0.6882)+(225.61*0.3118),2)</f>
        <v>236.43</v>
      </c>
      <c r="H92" s="3">
        <f>ROUND((253.34*0.6008)+(274.56*0.3992),2)</f>
        <v>261.81</v>
      </c>
      <c r="I92" s="3">
        <f>ROUND((234.72*0.498)+(234.48*0.502),2)</f>
        <v>234.6</v>
      </c>
      <c r="J92" s="3">
        <f>ROUND((300.26*0.625)+(314.18*0.375),2)</f>
        <v>305.48</v>
      </c>
      <c r="K92" s="3">
        <f>ROUND((138.73*0.6403)+(127.6*0.3597),2)</f>
        <v>134.72999999999999</v>
      </c>
      <c r="L92" s="3">
        <f>ROUND((246.06*0.6548)+(276.05*0.3452),2)</f>
        <v>256.41000000000003</v>
      </c>
      <c r="M92" s="3">
        <f>ROUND((187.42*0.7754)+(181.78*0.2246),2)</f>
        <v>186.15</v>
      </c>
      <c r="N92" s="3">
        <f>ROUND((262.77*0.6505)+(264.69*0.3495),2)</f>
        <v>263.44</v>
      </c>
      <c r="O92" s="3">
        <f>ROUND((267.64*0.5887)+(279.48*0.4113),2)</f>
        <v>272.51</v>
      </c>
    </row>
    <row r="93" spans="1:15" x14ac:dyDescent="0.25">
      <c r="A93">
        <v>2024</v>
      </c>
      <c r="B93" s="2" t="s">
        <v>22</v>
      </c>
      <c r="C93" s="3">
        <f>ROUND((255.82*0.6015)+(266.33*0.3985),2)</f>
        <v>260.01</v>
      </c>
      <c r="D93" s="3">
        <f>ROUND((278.76*0.5291)+(292.14*0.4709),2)</f>
        <v>285.06</v>
      </c>
      <c r="E93" s="3">
        <f>ROUND((386.05*0.5021)+(345.01*0.4979),2)</f>
        <v>365.62</v>
      </c>
      <c r="F93" s="3">
        <f>ROUND((214.12*0.5604)+(237.58*0.4396),2)</f>
        <v>224.43</v>
      </c>
      <c r="G93" s="3">
        <f>ROUND((247.13*0.6882)+(226.28*0.3118),2)</f>
        <v>240.63</v>
      </c>
      <c r="H93" s="3">
        <f>ROUND((255.2*0.6008)+(275.31*0.3992),2)</f>
        <v>263.23</v>
      </c>
      <c r="I93" s="3">
        <f>ROUND((235.03*0.498)+(235.75*0.502),2)</f>
        <v>235.39</v>
      </c>
      <c r="J93" s="3">
        <f>ROUND((306.81*0.625)+(320.47*0.375),2)</f>
        <v>311.93</v>
      </c>
      <c r="K93" s="3">
        <f>ROUND((138.73*0.6403)+(127.63*0.3597),2)</f>
        <v>134.74</v>
      </c>
      <c r="L93" s="3">
        <f>ROUND((246*0.6548)+(276.15*0.3452),2)</f>
        <v>256.41000000000003</v>
      </c>
      <c r="M93" s="3">
        <f>ROUND((187.42*0.7754)+(181.78*0.2246),2)</f>
        <v>186.15</v>
      </c>
      <c r="N93" s="3">
        <f>ROUND((263.47*0.6505)+(265.44*0.3495),2)</f>
        <v>264.16000000000003</v>
      </c>
      <c r="O93" s="3">
        <f>ROUND((269.89*0.5887)+(281.49*0.4113),2)</f>
        <v>274.66000000000003</v>
      </c>
    </row>
    <row r="94" spans="1:15" x14ac:dyDescent="0.25">
      <c r="A94">
        <v>2024</v>
      </c>
      <c r="B94" s="2" t="s">
        <v>23</v>
      </c>
      <c r="C94" s="3">
        <f>ROUND((259.47*0.6015)+(272*0.3985),2)</f>
        <v>264.45999999999998</v>
      </c>
      <c r="D94" s="3">
        <f>ROUND((286.46*0.5291)+(301.11*0.4709),2)</f>
        <v>293.36</v>
      </c>
      <c r="E94" s="3">
        <f>ROUND((386.2*0.5021)+(345.24*0.4979),2)</f>
        <v>365.81</v>
      </c>
      <c r="F94" s="3">
        <f>ROUND((216.67*0.5604)+(242.74*0.4396),2)</f>
        <v>228.13</v>
      </c>
      <c r="G94" s="3">
        <f>ROUND((250.13*0.6882)+(231.25*0.3118),2)</f>
        <v>244.24</v>
      </c>
      <c r="H94" s="3">
        <f>ROUND((256.37*0.6008)+(279.16*0.3992),2)</f>
        <v>265.47000000000003</v>
      </c>
      <c r="I94" s="3">
        <f>ROUND((236.76*0.498)+(236.6*0.502),2)</f>
        <v>236.68</v>
      </c>
      <c r="J94" s="3">
        <f>ROUND((305.33*0.625)+(321.67*0.375),2)</f>
        <v>311.45999999999998</v>
      </c>
      <c r="K94" s="3">
        <f>ROUND((138.77*0.6403)+(127.82*0.3597),2)</f>
        <v>134.83000000000001</v>
      </c>
      <c r="L94" s="3">
        <f>ROUND((246.16*0.6548)+(276.61*0.3452),2)</f>
        <v>256.67</v>
      </c>
      <c r="M94" s="3">
        <f>ROUND((188.09*0.7754)+(185.46*0.2246),2)</f>
        <v>187.5</v>
      </c>
      <c r="N94" s="3">
        <f>ROUND((265.74*0.6505)+(267.45*0.3495),2)</f>
        <v>266.33999999999997</v>
      </c>
      <c r="O94" s="3">
        <f>ROUND((271.71*0.5887)+(284.12*0.4113),2)</f>
        <v>276.81</v>
      </c>
    </row>
    <row r="95" spans="1:15" x14ac:dyDescent="0.25">
      <c r="A95">
        <v>2024</v>
      </c>
      <c r="B95" s="2" t="s">
        <v>24</v>
      </c>
      <c r="C95" s="3">
        <f>ROUND((259.24*0.6015)+(269.48*0.3985),2)</f>
        <v>263.32</v>
      </c>
      <c r="D95" s="3">
        <f>ROUND((281.53*0.5291)+(291.94*0.4709),2)</f>
        <v>286.43</v>
      </c>
      <c r="E95" s="3">
        <f>ROUND((386.36*0.5021)+(345.61*0.4979),2)</f>
        <v>366.07</v>
      </c>
      <c r="F95" s="3">
        <f>ROUND((230.79*0.5604)+(248.05*0.4396),2)</f>
        <v>238.38</v>
      </c>
      <c r="G95" s="3">
        <f>ROUND((246.31*0.6882)+(225.47*0.3118),2)</f>
        <v>239.81</v>
      </c>
      <c r="H95" s="3">
        <f>ROUND((257.23*0.6008)+(280.24*0.3992),2)</f>
        <v>266.42</v>
      </c>
      <c r="I95" s="3">
        <f>ROUND((237.26*0.498)+(237.32*0.502),2)</f>
        <v>237.29</v>
      </c>
      <c r="J95" s="3">
        <f>ROUND((312.92*0.625)+(332.55*0.375),2)</f>
        <v>320.27999999999997</v>
      </c>
      <c r="K95" s="3">
        <f>ROUND((138.77*0.6403)+(127.88*0.3597),2)</f>
        <v>134.85</v>
      </c>
      <c r="L95" s="3">
        <f>ROUND((247.36*0.6548)+(280.42*0.3452),2)</f>
        <v>258.77</v>
      </c>
      <c r="M95" s="3">
        <f>ROUND((192.49*0.7754)+(209.01*0.2246),2)</f>
        <v>196.2</v>
      </c>
      <c r="N95" s="3">
        <f>ROUND((268.67*0.6505)+(270.66*0.3495),2)</f>
        <v>269.37</v>
      </c>
      <c r="O95" s="3">
        <f>ROUND((275.96*0.5887)+(291.21*0.4113),2)</f>
        <v>282.23</v>
      </c>
    </row>
    <row r="96" spans="1:15" x14ac:dyDescent="0.25">
      <c r="A96">
        <v>2024</v>
      </c>
      <c r="B96" s="2" t="s">
        <v>25</v>
      </c>
      <c r="C96" s="3">
        <f>ROUND((251.99*0.6015)+(258.99*0.3985),2)</f>
        <v>254.78</v>
      </c>
      <c r="D96" s="3">
        <f>ROUND((260.78*0.5291)+(267.64*0.4709),2)</f>
        <v>264.01</v>
      </c>
      <c r="E96" s="3">
        <f>ROUND((387.13*0.5021)+(346.06*0.4979),2)</f>
        <v>366.68</v>
      </c>
      <c r="F96" s="3">
        <f>ROUND((231.28*0.5604)+(249.9*0.4396),2)</f>
        <v>239.47</v>
      </c>
      <c r="G96" s="3">
        <f>ROUND((243.36*0.6882)+(221.78*0.3118),2)</f>
        <v>236.63</v>
      </c>
      <c r="H96" s="3">
        <f>ROUND((257.55*0.6008)+(282.26*0.3992),2)</f>
        <v>267.41000000000003</v>
      </c>
      <c r="I96" s="3">
        <f>ROUND((243.2*0.498)+(239.15*0.502),2)</f>
        <v>241.17</v>
      </c>
      <c r="J96" s="3">
        <f>ROUND((309.36*0.625)+(324.55*0.375),2)</f>
        <v>315.06</v>
      </c>
      <c r="K96" s="3">
        <f>ROUND((137.91*0.6403)+(127.8*0.3597),2)</f>
        <v>134.27000000000001</v>
      </c>
      <c r="L96" s="3">
        <f>ROUND((251.25*0.6548)+(283.17*0.3452),2)</f>
        <v>262.27</v>
      </c>
      <c r="M96" s="3">
        <f>ROUND((194.43*0.7754)+(214.78*0.2246),2)</f>
        <v>199</v>
      </c>
      <c r="N96" s="3">
        <f>ROUND((265.2*0.6505)+(270.88*0.3495),2)</f>
        <v>267.19</v>
      </c>
      <c r="O96" s="3">
        <f>ROUND((276.03*0.5887)+(292.5*0.4113),2)</f>
        <v>282.8</v>
      </c>
    </row>
    <row r="97" spans="1:15" x14ac:dyDescent="0.25">
      <c r="A97">
        <v>2024</v>
      </c>
      <c r="B97" s="2" t="s">
        <v>26</v>
      </c>
      <c r="C97" s="3">
        <f>ROUND((253.44*0.6015)+(259.72*0.3985),2)</f>
        <v>255.94</v>
      </c>
      <c r="D97" s="3">
        <f>ROUND((262.18*0.5291)+(266.75*0.4709),2)</f>
        <v>264.33</v>
      </c>
      <c r="E97" s="3">
        <f>ROUND((401.92*0.5021)+(352.81*0.4979),2)</f>
        <v>377.47</v>
      </c>
      <c r="F97" s="3">
        <f>ROUND((233.53*0.5604)+(252.06*0.4396),2)</f>
        <v>241.68</v>
      </c>
      <c r="G97" s="3">
        <f>ROUND((246.77*0.6882)+(225.54*0.3118),2)</f>
        <v>240.15</v>
      </c>
      <c r="H97" s="3">
        <f>ROUND((258.39*0.6008)+(283.21*0.3992),2)</f>
        <v>268.3</v>
      </c>
      <c r="I97" s="3">
        <f>ROUND((247.37*0.498)+(241.78*0.502),2)</f>
        <v>244.56</v>
      </c>
      <c r="J97" s="3">
        <f>ROUND((303.14*0.625)+(316.71*0.375),2)</f>
        <v>308.23</v>
      </c>
      <c r="K97" s="3">
        <f>ROUND((138.28*0.6403)+(127.84*0.3597),2)</f>
        <v>134.52000000000001</v>
      </c>
      <c r="L97" s="3">
        <f>ROUND((255.02*0.6548)+(295.53*0.3452),2)</f>
        <v>269</v>
      </c>
      <c r="M97" s="3">
        <f>ROUND((194.55*0.7754)+(216.95*0.2246),2)</f>
        <v>199.58</v>
      </c>
      <c r="N97" s="3">
        <f>ROUND((263.73*0.6505)+(271.58*0.3495),2)</f>
        <v>266.47000000000003</v>
      </c>
      <c r="O97" s="3">
        <f>ROUND((277.61*0.5887)+(295.45*0.4113),2)</f>
        <v>284.95</v>
      </c>
    </row>
    <row r="98" spans="1:15" x14ac:dyDescent="0.25">
      <c r="A98">
        <v>2024</v>
      </c>
      <c r="B98" s="2" t="s">
        <v>15</v>
      </c>
      <c r="C98" s="3">
        <f>ROUND((258.59*0.6015)+(265.43*0.3985),2)</f>
        <v>261.32</v>
      </c>
      <c r="D98" s="3">
        <f>ROUND((276.1*0.5291)+(277.35*0.4709),2)</f>
        <v>276.69</v>
      </c>
      <c r="E98" s="3">
        <f>ROUND((407.5*0.5021)+(359.15*0.4979),2)</f>
        <v>383.43</v>
      </c>
      <c r="F98" s="3">
        <f>ROUND((235.24*0.5604)+(254.73*0.4396),2)</f>
        <v>243.81</v>
      </c>
      <c r="G98" s="3">
        <f>ROUND((246.75*0.6882)+(226.09*0.3118),2)</f>
        <v>240.31</v>
      </c>
      <c r="H98" s="3">
        <f>ROUND((259.61*0.6008)+(285.06*0.3992),2)</f>
        <v>269.77</v>
      </c>
      <c r="I98" s="3">
        <f>ROUND((251.47*0.498)+(245.51*0.502),2)</f>
        <v>248.48</v>
      </c>
      <c r="J98" s="3">
        <f>ROUND((307.43*0.625)+(321.06*0.375),2)</f>
        <v>312.54000000000002</v>
      </c>
      <c r="K98" s="3">
        <f>ROUND((138.28*0.6403)+(128.09*0.3597),2)</f>
        <v>134.61000000000001</v>
      </c>
      <c r="L98" s="3">
        <f>ROUND((256.42*0.6548)+(297.11*0.3452),2)</f>
        <v>270.47000000000003</v>
      </c>
      <c r="M98" s="3">
        <f>ROUND((194.55*0.7754)+(217.63*0.2246),2)</f>
        <v>199.73</v>
      </c>
      <c r="N98" s="3">
        <f>ROUND((265.28*0.6505)+(276.6*0.3495),2)</f>
        <v>269.24</v>
      </c>
      <c r="O98" s="3">
        <f>ROUND((281.53*0.5887)+(298.25*0.4113),2)</f>
        <v>288.41000000000003</v>
      </c>
    </row>
    <row r="99" spans="1:15" x14ac:dyDescent="0.25">
      <c r="A99">
        <v>2024</v>
      </c>
      <c r="B99" s="2" t="s">
        <v>16</v>
      </c>
      <c r="C99" s="3">
        <f>ROUND((259.3*0.6015)+(266.89*0.3985),2)</f>
        <v>262.32</v>
      </c>
      <c r="D99" s="3">
        <f>ROUND((280.27*0.5291)+(281.23*0.4709),2)</f>
        <v>280.72000000000003</v>
      </c>
      <c r="E99" s="3">
        <f>ROUND((407.24*0.5021)+(360.75*0.4979),2)</f>
        <v>384.09</v>
      </c>
      <c r="F99" s="3">
        <f>ROUND((236.21*0.5604)+(255.85*0.4396),2)</f>
        <v>244.84</v>
      </c>
      <c r="G99" s="3">
        <f>ROUND((243.39*0.6882)+(222.68*0.3118),2)</f>
        <v>236.93</v>
      </c>
      <c r="H99" s="3">
        <f>ROUND((259.86*0.6008)+(285.81*0.3992),2)</f>
        <v>270.22000000000003</v>
      </c>
      <c r="I99" s="3">
        <f>ROUND((253.98*0.498)+(247.3*0.502),2)</f>
        <v>250.63</v>
      </c>
      <c r="J99" s="3">
        <f>ROUND((305.69*0.625)+(317.76*0.375),2)</f>
        <v>310.22000000000003</v>
      </c>
      <c r="K99" s="3">
        <f>ROUND((138.3*0.6403)+(128.21*0.3597),2)</f>
        <v>134.66999999999999</v>
      </c>
      <c r="L99" s="3">
        <f>ROUND((259.63*0.6548)+(299.91*0.3452),2)</f>
        <v>273.52999999999997</v>
      </c>
      <c r="M99" s="3">
        <f>ROUND((195.37*0.7754)+(220.36*0.2246),2)</f>
        <v>200.98</v>
      </c>
      <c r="N99" s="3">
        <f>ROUND((266.75*0.6505)+(278.98*0.3495),2)</f>
        <v>271.02</v>
      </c>
      <c r="O99" s="3">
        <f>ROUND((283.85*0.5887)+(302.62*0.4113),2)</f>
        <v>291.57</v>
      </c>
    </row>
    <row r="100" spans="1:15" x14ac:dyDescent="0.25">
      <c r="A100">
        <v>2024</v>
      </c>
      <c r="B100" s="2" t="s">
        <v>17</v>
      </c>
      <c r="C100" s="3">
        <f>ROUND((257.92*0.6015)+(265.55*0.3985),2)</f>
        <v>260.95999999999998</v>
      </c>
      <c r="D100" s="3">
        <f>ROUND((276.17*0.5291)+(277.61*0.4709),2)</f>
        <v>276.85000000000002</v>
      </c>
      <c r="E100" s="3">
        <f>ROUND((407.83*0.5021)+(362.46*0.4979),2)</f>
        <v>385.24</v>
      </c>
      <c r="F100" s="3">
        <f>ROUND((237.02*0.5604)+(257.69*0.4396),2)</f>
        <v>246.11</v>
      </c>
      <c r="G100" s="3">
        <f>ROUND((241.96*0.6882)+(221.31*0.3118),2)</f>
        <v>235.52</v>
      </c>
      <c r="H100" s="3">
        <f>ROUND((258.43*0.6008)+(285.87*0.3992),2)</f>
        <v>269.38</v>
      </c>
      <c r="I100" s="3">
        <f>ROUND((257.52*0.498)+(247.99*0.502),2)</f>
        <v>252.74</v>
      </c>
      <c r="J100" s="3">
        <f>ROUND((299.64*0.625)+(312.01*0.375),2)</f>
        <v>304.27999999999997</v>
      </c>
      <c r="K100" s="3">
        <f>ROUND((138.34*0.6403)+(128.57*0.3597),2)</f>
        <v>134.83000000000001</v>
      </c>
      <c r="L100" s="3">
        <f>ROUND((259.42*0.6548)+(301.16*0.3452),2)</f>
        <v>273.83</v>
      </c>
      <c r="M100" s="3">
        <f>ROUND((195.66*0.7754)+(222.96*0.2246),2)</f>
        <v>201.79</v>
      </c>
      <c r="N100" s="3">
        <f>ROUND((271.99*0.6505)+(282.1*0.3495),2)</f>
        <v>275.52</v>
      </c>
      <c r="O100" s="3">
        <f>ROUND((286.58*0.5887)+(307.12*0.4113),2)</f>
        <v>295.02999999999997</v>
      </c>
    </row>
    <row r="101" spans="1:15" x14ac:dyDescent="0.25">
      <c r="A101">
        <v>2024</v>
      </c>
      <c r="B101" s="2" t="s">
        <v>18</v>
      </c>
      <c r="C101" s="3">
        <f>ROUND((260.64*0.6015)+(269.51*0.3985),2)</f>
        <v>264.17</v>
      </c>
      <c r="D101" s="3">
        <f>ROUND((281.39*0.5291)+(284.51*0.4709),2)</f>
        <v>282.86</v>
      </c>
      <c r="E101" s="3">
        <f>ROUND((408.28*0.5021)+(362.33*0.4979),2)</f>
        <v>385.4</v>
      </c>
      <c r="F101" s="3">
        <f>ROUND((237.24*0.5604)+(258.89*0.4396),2)</f>
        <v>246.76</v>
      </c>
      <c r="G101" s="3">
        <f>ROUND((245.75*0.6882)+(225.1*0.3118),2)</f>
        <v>239.31</v>
      </c>
      <c r="H101" s="3">
        <f>ROUND((261.24*0.6008)+(285.81*0.3992),2)</f>
        <v>271.05</v>
      </c>
      <c r="I101" s="3">
        <f>ROUND((260.72*0.498)+(252.33*0.502),2)</f>
        <v>256.51</v>
      </c>
      <c r="J101" s="3">
        <f>ROUND((294.62*0.625)+(307.99*0.375),2)</f>
        <v>299.63</v>
      </c>
      <c r="K101" s="3">
        <f>ROUND((138.37*0.6403)+(128.57*0.3597),2)</f>
        <v>134.84</v>
      </c>
      <c r="L101" s="3">
        <f>ROUND((259.72*0.6548)+(302.66*0.3452),2)</f>
        <v>274.54000000000002</v>
      </c>
      <c r="M101" s="3">
        <f>ROUND((195.98*0.7754)+(223.51*0.2246),2)</f>
        <v>202.16</v>
      </c>
      <c r="N101" s="3">
        <f>ROUND((272.98*0.6505)+(283.88*0.3495),2)</f>
        <v>276.79000000000002</v>
      </c>
      <c r="O101" s="3">
        <f>ROUND((289.03*0.5887)+(312.2*0.4113),2)</f>
        <v>298.56</v>
      </c>
    </row>
    <row r="102" spans="1:15" x14ac:dyDescent="0.25">
      <c r="A102">
        <v>2024</v>
      </c>
      <c r="B102" s="2" t="s">
        <v>19</v>
      </c>
      <c r="C102" s="3">
        <f>ROUND((261.92*0.6015)+(270.81*0.3985),2)</f>
        <v>265.45999999999998</v>
      </c>
      <c r="D102" s="3">
        <f>ROUND((279.93*0.5291)+(284.92*0.4709),2)</f>
        <v>282.27999999999997</v>
      </c>
      <c r="E102" s="3">
        <f>ROUND((403.16*0.5021)+(361.85*0.4979),2)</f>
        <v>382.59</v>
      </c>
      <c r="F102" s="3">
        <f>ROUND((244.54*0.5604)+(261.64*0.4396),2)</f>
        <v>252.06</v>
      </c>
      <c r="G102" s="3">
        <f>ROUND((246.49*0.6882)+(226.55*0.3118),2)</f>
        <v>240.27</v>
      </c>
      <c r="H102" s="3">
        <f>ROUND((264.13*0.6008)+(287.05*0.3992),2)</f>
        <v>273.27999999999997</v>
      </c>
      <c r="I102" s="3">
        <f>ROUND((267.04*0.498)+(258.24*0.502),2)</f>
        <v>262.62</v>
      </c>
      <c r="J102" s="3">
        <f>ROUND((296.81*0.625)+(310.1*0.375),2)</f>
        <v>301.79000000000002</v>
      </c>
      <c r="K102" s="3">
        <f>ROUND((138.39*0.6403)+(128.64*0.3597),2)</f>
        <v>134.88</v>
      </c>
      <c r="L102" s="3">
        <f>ROUND((260.05*0.6548)+(305.61*0.3452),2)</f>
        <v>275.77999999999997</v>
      </c>
      <c r="M102" s="3">
        <f>ROUND((199.91*0.7754)+(223.51*0.2246),2)</f>
        <v>205.21</v>
      </c>
      <c r="N102" s="3">
        <f>ROUND((276.36*0.6505)+(285.88*0.3495),2)</f>
        <v>279.69</v>
      </c>
      <c r="O102" s="3">
        <f>ROUND((291.88*0.5887)+(313.56*0.4113),2)</f>
        <v>300.8</v>
      </c>
    </row>
    <row r="103" spans="1:15" x14ac:dyDescent="0.25">
      <c r="A103">
        <v>2024</v>
      </c>
      <c r="B103" s="2" t="s">
        <v>20</v>
      </c>
      <c r="C103" s="3">
        <f>ROUND((261.67*0.6015)+(271.6*0.3985),2)</f>
        <v>265.63</v>
      </c>
      <c r="D103" s="3">
        <f>ROUND((279.9*0.5291)+(285.04*0.4709),2)</f>
        <v>282.32</v>
      </c>
      <c r="E103" s="3">
        <f>ROUND((405.62*0.5021)+(363.54*0.4979),2)</f>
        <v>384.67</v>
      </c>
      <c r="F103" s="3">
        <f>ROUND((245.42*0.5604)+(263.86*0.4396),2)</f>
        <v>253.53</v>
      </c>
      <c r="G103" s="3">
        <f>ROUND((244.15*0.6882)+(225.79*0.3118),2)</f>
        <v>238.43</v>
      </c>
      <c r="H103" s="3">
        <f>ROUND((263.2*0.6008)+(289.68*0.3992),2)</f>
        <v>273.77</v>
      </c>
      <c r="I103" s="3">
        <f>ROUND((268.54*0.498)+(261.49*0.502),2)</f>
        <v>265</v>
      </c>
      <c r="J103" s="3">
        <f>ROUND((300.02*0.625)+(313.24*0.375),2)</f>
        <v>304.98</v>
      </c>
      <c r="K103" s="3">
        <f>ROUND((138.4*0.6403)+(128.64*0.3597),2)</f>
        <v>134.88999999999999</v>
      </c>
      <c r="L103" s="3">
        <f>ROUND((260.51*0.6548)+(307.45*0.3452),2)</f>
        <v>276.70999999999998</v>
      </c>
      <c r="M103" s="3">
        <f>ROUND((199.96*0.7754)+(223.51*0.2246),2)</f>
        <v>205.25</v>
      </c>
      <c r="N103" s="3">
        <f>ROUND((277.24*0.6505)+(287.08*0.3495),2)</f>
        <v>280.68</v>
      </c>
      <c r="O103" s="3">
        <f>ROUND((292.4*0.5887)+(316.64*0.4113),2)</f>
        <v>302.37</v>
      </c>
    </row>
    <row r="104" spans="1:15" x14ac:dyDescent="0.25">
      <c r="A104">
        <v>2025</v>
      </c>
      <c r="B104" s="2" t="s">
        <v>21</v>
      </c>
      <c r="C104" s="3">
        <f>ROUND((262.17*0.6015)+(272.21*0.3985),2)</f>
        <v>266.17</v>
      </c>
      <c r="D104" s="3">
        <f>ROUND((278.37*0.5291)+(283.29*0.4709),2)</f>
        <v>280.69</v>
      </c>
      <c r="E104" s="3">
        <f>ROUND((406.23*0.5021)+(364.99*0.4979),2)</f>
        <v>385.7</v>
      </c>
      <c r="F104" s="3">
        <f>ROUND((246.32*0.5604)+(265.62*0.4396),2)</f>
        <v>254.8</v>
      </c>
      <c r="G104" s="3">
        <f>ROUND((245.5*0.6882)+(228.04*0.3118),2)</f>
        <v>240.06</v>
      </c>
      <c r="H104" s="3">
        <f>ROUND((264.44*0.6008)+(290.99*0.3992),2)</f>
        <v>275.04000000000002</v>
      </c>
      <c r="I104" s="3">
        <f>ROUND((270.5*0.498)+(264.82*0.502),2)</f>
        <v>267.64999999999998</v>
      </c>
      <c r="J104" s="3">
        <f>ROUND((302.43*0.625)+(316.24*0.375),2)</f>
        <v>307.61</v>
      </c>
      <c r="K104" s="3">
        <f>ROUND((138.38*0.6403)+(128.68*0.3597),2)</f>
        <v>134.88999999999999</v>
      </c>
      <c r="L104" s="3">
        <f>ROUND((260.67*0.6548)+(308.76*0.3452),2)</f>
        <v>277.27</v>
      </c>
      <c r="M104" s="3">
        <f>ROUND((200.02*0.7754)+(224.34*0.2246),2)</f>
        <v>205.48</v>
      </c>
      <c r="N104" s="3">
        <f>ROUND((279.39*0.6505)+(290.5*0.3495),2)</f>
        <v>283.27</v>
      </c>
      <c r="O104" s="3">
        <f>ROUND((294.76*0.5887)+(319.46*0.4113),2)</f>
        <v>304.92</v>
      </c>
    </row>
    <row r="105" spans="1:15" x14ac:dyDescent="0.25">
      <c r="A105">
        <v>2025</v>
      </c>
      <c r="B105" s="2" t="s">
        <v>22</v>
      </c>
      <c r="C105" s="3">
        <f>ROUND((260.46*0.6015)+(269.22*0.3985),2)</f>
        <v>263.95</v>
      </c>
      <c r="D105" s="3">
        <f>ROUND((271.84*0.5291)+(274.82*0.4709),2)</f>
        <v>273.24</v>
      </c>
      <c r="E105" s="3">
        <f>ROUND((410.59*0.5021)+(369.21*0.4979),2)</f>
        <v>389.99</v>
      </c>
      <c r="F105" s="3">
        <f>ROUND((246.69*0.5604)+(266.53*0.4396),2)</f>
        <v>255.41</v>
      </c>
      <c r="G105" s="3">
        <f>ROUND((244.76*0.6882)+(227.13*0.3118),2)</f>
        <v>239.26</v>
      </c>
      <c r="H105" s="3">
        <f>ROUND((264.72*0.6008)+(290.37*0.3992),2)</f>
        <v>274.95999999999998</v>
      </c>
      <c r="I105" s="3">
        <f>ROUND((271.35*0.498)+(266.98*0.502),2)</f>
        <v>269.16000000000003</v>
      </c>
      <c r="J105" s="3">
        <f>ROUND((303.09*0.625)+(317.65*0.375),2)</f>
        <v>308.55</v>
      </c>
      <c r="K105" s="3">
        <f>ROUND((138.38*0.6403)+(128.68*0.3597),2)</f>
        <v>134.88999999999999</v>
      </c>
      <c r="L105" s="3">
        <f>ROUND((260.96*0.6548)+(310.02*0.3452),2)</f>
        <v>277.89999999999998</v>
      </c>
      <c r="M105" s="3">
        <f>ROUND((200.61*0.7754)+(226.3*0.2246),2)</f>
        <v>206.38</v>
      </c>
      <c r="N105" s="3">
        <f>ROUND((280.26*0.6505)+(291.47*0.3495),2)</f>
        <v>284.18</v>
      </c>
      <c r="O105" s="3">
        <f>ROUND((299.81*0.5887)+(324.44*0.4113),2)</f>
        <v>309.94</v>
      </c>
    </row>
    <row r="106" spans="1:15" x14ac:dyDescent="0.25">
      <c r="A106">
        <v>2025</v>
      </c>
      <c r="B106" s="2" t="s">
        <v>23</v>
      </c>
      <c r="C106" s="3">
        <f>ROUND((262.48*0.6015)+(272.05*0.3985),2)</f>
        <v>266.29000000000002</v>
      </c>
      <c r="D106" s="3">
        <f>ROUND((277.04*0.5291)+(279.81*0.4709),2)</f>
        <v>278.33999999999997</v>
      </c>
      <c r="E106" s="3">
        <f>ROUND((414.86*0.5021)+(371.72*0.4979),2)</f>
        <v>393.38</v>
      </c>
      <c r="F106" s="3">
        <f>ROUND((249.74*0.5604)+(270.77*0.4396),2)</f>
        <v>258.98</v>
      </c>
      <c r="G106" s="3">
        <f>ROUND((244.31*0.6882)+(227.13*0.3118),2)</f>
        <v>238.95</v>
      </c>
      <c r="H106" s="3">
        <f>ROUND((264.94*0.6008)+(291.09*0.3992),2)</f>
        <v>275.38</v>
      </c>
      <c r="I106" s="3">
        <f>ROUND((271.71*0.498)+(266.98*0.502),2)</f>
        <v>269.33999999999997</v>
      </c>
      <c r="J106" s="3">
        <f>ROUND((302.14*0.625)+(317*0.375),2)</f>
        <v>307.70999999999998</v>
      </c>
      <c r="K106" s="3">
        <f>ROUND((138.38*0.6403)+(128.68*0.3597),2)</f>
        <v>134.88999999999999</v>
      </c>
      <c r="L106" s="3">
        <f>ROUND((258.99*0.6548)+(309.31*0.3452),2)</f>
        <v>276.36</v>
      </c>
      <c r="M106" s="3">
        <f>ROUND((203.07*0.7754)+(233.45*0.2246),2)</f>
        <v>209.89</v>
      </c>
      <c r="N106" s="3">
        <f>ROUND((280.73*0.6505)+(292.11*0.3495),2)</f>
        <v>284.70999999999998</v>
      </c>
      <c r="O106" s="3">
        <f>ROUND((304.14*0.5887)+(327.98*0.4113),2)</f>
        <v>313.95</v>
      </c>
    </row>
    <row r="107" spans="1:15" x14ac:dyDescent="0.25">
      <c r="A107">
        <v>2025</v>
      </c>
      <c r="B107" s="2" t="s">
        <v>24</v>
      </c>
      <c r="C107" s="3">
        <f>ROUND((260.65*0.6015)+(269.2*0.3985),2)</f>
        <v>264.06</v>
      </c>
      <c r="D107" s="3">
        <f>ROUND((271.43*0.5291)+(273.94*0.4709),2)</f>
        <v>272.61</v>
      </c>
      <c r="E107" s="3">
        <f>ROUND((417.98*0.5021)+(372.13*0.4979),2)</f>
        <v>395.15</v>
      </c>
      <c r="F107" s="3">
        <f>ROUND((251.04*0.5604)+(271.57*0.4396),2)</f>
        <v>260.06</v>
      </c>
      <c r="G107" s="3">
        <f>ROUND((239.51*0.6882)+(220.34*0.3118),2)</f>
        <v>233.53</v>
      </c>
      <c r="H107" s="3">
        <f>ROUND((267.22*0.6008)+(292.05*0.3992),2)</f>
        <v>277.13</v>
      </c>
      <c r="I107" s="3">
        <f>ROUND((273.81*0.498)+(267.95*0.502),2)</f>
        <v>270.87</v>
      </c>
      <c r="J107" s="3">
        <f>ROUND((301.84*0.625)+(317.59*0.375),2)</f>
        <v>307.75</v>
      </c>
      <c r="K107" s="3">
        <f>ROUND((138.39*0.6403)+(128.91*0.3597),2)</f>
        <v>134.97999999999999</v>
      </c>
      <c r="L107" s="3">
        <f>ROUND((261.43*0.6548)+(312.12*0.3452),2)</f>
        <v>278.93</v>
      </c>
      <c r="M107" s="3">
        <f>ROUND((211.42*0.7754)+(239.01*0.2246),2)</f>
        <v>217.62</v>
      </c>
      <c r="N107" s="3">
        <f>ROUND((282.36*0.6505)+(293.73*0.3495),2)</f>
        <v>286.33</v>
      </c>
      <c r="O107" s="3">
        <f>ROUND((311.43*0.5887)+(335*0.4113),2)</f>
        <v>321.12</v>
      </c>
    </row>
    <row r="108" spans="1:15" x14ac:dyDescent="0.25">
      <c r="A108">
        <v>2025</v>
      </c>
      <c r="B108" s="2" t="s">
        <v>25</v>
      </c>
      <c r="C108" s="3">
        <f>ROUND((260.84*0.6015)+(267.77*0.3985),2)</f>
        <v>263.60000000000002</v>
      </c>
      <c r="D108" s="3">
        <f>ROUND((273.34*0.5291)+(270.75*0.4709),2)</f>
        <v>272.12</v>
      </c>
      <c r="E108" s="3">
        <f>ROUND((418.05*0.5021)+(372.73*0.4979),2)</f>
        <v>395.49</v>
      </c>
      <c r="F108" s="3">
        <f>ROUND((254.43*0.5604)+(272.99*0.4396),2)</f>
        <v>262.58999999999997</v>
      </c>
      <c r="G108" s="3">
        <f>ROUND((236.58*0.6882)+(217.59*0.3118),2)</f>
        <v>230.66</v>
      </c>
      <c r="H108" s="3">
        <f>ROUND((267.57*0.6008)+(293.32*0.3992),2)</f>
        <v>277.85000000000002</v>
      </c>
      <c r="I108" s="3">
        <f>ROUND((274.2*0.498)+(269.64*0.502),2)</f>
        <v>271.91000000000003</v>
      </c>
      <c r="J108" s="3">
        <f>ROUND((301.57*0.625)+(316.57*0.375),2)</f>
        <v>307.2</v>
      </c>
      <c r="K108" s="3">
        <f>ROUND((138.43*0.6403)+(128.94*0.3597),2)</f>
        <v>135.02000000000001</v>
      </c>
      <c r="L108" s="3">
        <f>ROUND((250.5*0.6548)+(294.6*0.3452),2)</f>
        <v>265.72000000000003</v>
      </c>
      <c r="M108" s="3">
        <f>ROUND((212.23*0.7754)+(242.8*0.2246),2)</f>
        <v>219.1</v>
      </c>
      <c r="N108" s="3">
        <f>ROUND((282.75*0.6505)+(294.57*0.3495),2)</f>
        <v>286.88</v>
      </c>
      <c r="O108" s="3">
        <f>ROUND((316.36*0.5887)+(340.9*0.4113),2)</f>
        <v>326.45</v>
      </c>
    </row>
    <row r="109" spans="1:15" x14ac:dyDescent="0.25">
      <c r="A109">
        <v>2025</v>
      </c>
      <c r="B109" s="2" t="s">
        <v>26</v>
      </c>
      <c r="C109" s="3">
        <f>ROUND((261.04*0.6015)+(269.02*0.3985),2)</f>
        <v>264.22000000000003</v>
      </c>
      <c r="D109" s="3">
        <f>ROUND((271.3*0.5291)+(270.88*0.4709),2)</f>
        <v>271.10000000000002</v>
      </c>
      <c r="E109" s="3">
        <f>ROUND((418.82*0.5021)+(374.43*0.4979),2)</f>
        <v>396.72</v>
      </c>
      <c r="F109" s="3">
        <f>ROUND((254.64*0.5604)+(274.36*0.4396),2)</f>
        <v>263.31</v>
      </c>
      <c r="G109" s="3">
        <f>ROUND((238.2*0.6882)+(219.2*0.3118),2)</f>
        <v>232.28</v>
      </c>
      <c r="H109" s="3">
        <f>ROUND((267.58*0.6008)+(294.24*0.3992),2)</f>
        <v>278.22000000000003</v>
      </c>
      <c r="I109" s="3">
        <f>ROUND((276.26*0.498)+(272.32*0.502),2)</f>
        <v>274.27999999999997</v>
      </c>
      <c r="J109" s="3">
        <f>ROUND((304.52*0.625)+(319.4*0.375),2)</f>
        <v>310.10000000000002</v>
      </c>
      <c r="K109" s="3">
        <f>ROUND((138.6*0.6403)+(129.06*0.3597),2)</f>
        <v>135.16999999999999</v>
      </c>
      <c r="L109" s="3">
        <f>ROUND((250.36*0.6548)+(296.23*0.3452),2)</f>
        <v>266.19</v>
      </c>
      <c r="M109" s="3">
        <f>ROUND((212.44*0.7754)+(244.66*0.2246),2)</f>
        <v>219.68</v>
      </c>
      <c r="N109" s="3">
        <f>ROUND((283.57*0.6505)+(298.42*0.3495),2)</f>
        <v>288.76</v>
      </c>
      <c r="O109" s="3">
        <f>ROUND((317.53*0.5887)+(344.07*0.4113),2)</f>
        <v>328.45</v>
      </c>
    </row>
    <row r="110" spans="1:15" x14ac:dyDescent="0.25">
      <c r="A110">
        <v>2025</v>
      </c>
      <c r="B110" s="2" t="s">
        <v>15</v>
      </c>
      <c r="C110" s="3">
        <f>ROUND((270.04*0.6015)+(274.81*0.3985),2)</f>
        <v>271.94</v>
      </c>
      <c r="D110" s="3">
        <f>ROUND((279.27*0.5291)+(279.01*0.4709),2)</f>
        <v>279.14999999999998</v>
      </c>
      <c r="E110" s="3">
        <f>ROUND((419.92*0.5021)+(374.78*0.4979),2)</f>
        <v>397.44</v>
      </c>
      <c r="F110" s="3">
        <f>ROUND((254.87*0.5604)+(276.03*0.4396),2)</f>
        <v>264.17</v>
      </c>
      <c r="G110" s="3">
        <f>ROUND((258.93*0.6882)+(226.67*0.3118),2)</f>
        <v>248.87</v>
      </c>
      <c r="H110" s="3">
        <f>ROUND((268.22*0.6008)+(294.55*0.3992),2)</f>
        <v>278.73</v>
      </c>
      <c r="I110" s="3">
        <f>ROUND((276.72*0.498)+(273.77*0.502),2)</f>
        <v>275.24</v>
      </c>
      <c r="J110" s="3">
        <f>ROUND((315.95*0.625)+(329.51*0.375),2)</f>
        <v>321.04000000000002</v>
      </c>
      <c r="K110" s="3">
        <f>ROUND((138.62*0.6403)+(129.28*0.3597),2)</f>
        <v>135.26</v>
      </c>
      <c r="L110" s="3">
        <f>ROUND((250.53*0.6548)+(296.78*0.3452),2)</f>
        <v>266.5</v>
      </c>
      <c r="M110" s="3">
        <f>ROUND((212.7*0.7754)+(245.87*0.2246),2)</f>
        <v>220.15</v>
      </c>
      <c r="N110" s="3">
        <f>ROUND((283.97*0.6505)+(300.75*0.3495),2)</f>
        <v>289.83</v>
      </c>
      <c r="O110" s="3">
        <f>ROUND((321*0.5887)+(346.21*0.4113),2)</f>
        <v>331.37</v>
      </c>
    </row>
    <row r="111" spans="1:15" x14ac:dyDescent="0.25">
      <c r="A111">
        <v>2025</v>
      </c>
      <c r="B111" s="2" t="s">
        <v>16</v>
      </c>
      <c r="C111" s="3">
        <f>ROUND((268.26*0.6015)+(273.51*0.3985),2)</f>
        <v>270.35000000000002</v>
      </c>
      <c r="D111" s="3">
        <f>ROUND((274.74*0.5291)+(276.77*0.4709),2)</f>
        <v>275.7</v>
      </c>
      <c r="E111" s="3">
        <f>ROUND((420.23*0.5021)+(375.17*0.4979),2)</f>
        <v>397.79</v>
      </c>
      <c r="F111" s="3">
        <f>ROUND((255.32*0.5604)+(276.67*0.4396),2)</f>
        <v>264.70999999999998</v>
      </c>
      <c r="G111" s="3">
        <f>ROUND((256.33*0.6882)+(223.98*0.3118),2)</f>
        <v>246.24</v>
      </c>
      <c r="H111" s="3">
        <f>ROUND((269.71*0.6008)+(294.7*0.3992),2)</f>
        <v>279.69</v>
      </c>
      <c r="I111" s="3">
        <f>ROUND((278.71*0.498)+(275.7*0.502),2)</f>
        <v>277.2</v>
      </c>
      <c r="J111" s="3">
        <f>ROUND((312.8*0.625)+(326.48*0.375),2)</f>
        <v>317.93</v>
      </c>
      <c r="K111" s="3">
        <f>ROUND((138.68*0.6403)+(129.31*0.3597),2)</f>
        <v>135.31</v>
      </c>
      <c r="L111" s="3">
        <f>ROUND((251.61*0.6548)+(297.17*0.3452),2)</f>
        <v>267.33999999999997</v>
      </c>
      <c r="M111" s="3">
        <f>ROUND((216.13*0.7754)+(246.57*0.2246),2)</f>
        <v>222.97</v>
      </c>
      <c r="N111" s="3">
        <f>ROUND((284.54*0.6505)+(301.25*0.3495),2)</f>
        <v>290.38</v>
      </c>
      <c r="O111" s="3">
        <f>ROUND((323.39*0.5887)+(348.07*0.4113),2)</f>
        <v>333.54</v>
      </c>
    </row>
    <row r="112" spans="1:15" x14ac:dyDescent="0.25">
      <c r="A112">
        <v>2025</v>
      </c>
      <c r="B112" s="2" t="s">
        <v>17</v>
      </c>
      <c r="C112" s="3">
        <f>ROUND((272.53*0.6015)+(281.25*0.3985),2)</f>
        <v>276</v>
      </c>
      <c r="D112" s="3">
        <f>ROUND((287.74*0.5291)+(294.12*0.4709),2)</f>
        <v>290.74</v>
      </c>
      <c r="E112" s="3">
        <f>ROUND((420.57*0.5021)+(375.81*0.4979),2)</f>
        <v>398.28</v>
      </c>
      <c r="F112" s="3">
        <f>ROUND((255.85*0.5604)+(278.46*0.4396),2)</f>
        <v>265.79000000000002</v>
      </c>
      <c r="G112" s="3">
        <f>ROUND((255.72*0.6882)+(223.93*0.3118),2)</f>
        <v>245.81</v>
      </c>
      <c r="H112" s="3">
        <f>ROUND((270.65*0.6008)+(295.37*0.3992),2)</f>
        <v>280.52</v>
      </c>
      <c r="I112" s="3">
        <f>ROUND((280.61*0.498)+(278.38*0.502),2)</f>
        <v>279.49</v>
      </c>
      <c r="J112" s="3">
        <f>ROUND((311.84*0.625)+(325.74*0.375),2)</f>
        <v>317.05</v>
      </c>
      <c r="K112" s="3">
        <f>ROUND((138.78*0.6403)+(129.33*0.3597),2)</f>
        <v>135.38</v>
      </c>
      <c r="L112" s="3">
        <f>ROUND((250.7*0.6548)+(296.47*0.3452),2)</f>
        <v>266.5</v>
      </c>
      <c r="M112" s="3">
        <f>ROUND((216.28*0.7754)+(248.13*0.2246),2)</f>
        <v>223.43</v>
      </c>
      <c r="N112" s="3">
        <f>ROUND((286.84*0.6505)+(302.6*0.3495),2)</f>
        <v>292.35000000000002</v>
      </c>
      <c r="O112" s="3">
        <f>ROUND((328.68*0.5887)+(353.86*0.4113),2)</f>
        <v>339.04</v>
      </c>
    </row>
    <row r="113" spans="1:15" x14ac:dyDescent="0.25">
      <c r="A113">
        <v>2025</v>
      </c>
      <c r="B113" s="2" t="s">
        <v>18</v>
      </c>
      <c r="C113" s="3">
        <f>ROUND((276.28*0.6015)+(287.26*0.3985),2)</f>
        <v>280.66000000000003</v>
      </c>
      <c r="D113" s="3">
        <f>ROUND((293.61*0.5291)+(304.16*0.4709),2)</f>
        <v>298.58</v>
      </c>
      <c r="E113" s="3">
        <f>ROUND((420.73*0.5021)+(375.29*0.4979),2)</f>
        <v>398.11</v>
      </c>
      <c r="F113" s="3">
        <f>ROUND((256.5*0.5604)+(279.63*0.4396),2)</f>
        <v>266.67</v>
      </c>
      <c r="G113" s="3">
        <f>ROUND((259.29*0.6882)+(227.75*0.3118),2)</f>
        <v>249.46</v>
      </c>
      <c r="H113" s="3">
        <f>ROUND((272.01*0.6008)+(296.68*0.3992),2)</f>
        <v>281.86</v>
      </c>
      <c r="I113" s="3">
        <f>ROUND((282.04*0.498)+(280.71*0.502),2)</f>
        <v>281.37</v>
      </c>
      <c r="J113" s="3">
        <f>ROUND((314.95*0.625)+(327.77*0.375),2)</f>
        <v>319.76</v>
      </c>
      <c r="K113" s="3">
        <f>ROUND((138.97*0.6403)+(129.66*0.3597),2)</f>
        <v>135.62</v>
      </c>
      <c r="L113" s="3">
        <f>ROUND((248.77*0.6548)+(293.93*0.3452),2)</f>
        <v>264.36</v>
      </c>
      <c r="M113" s="3">
        <f>ROUND((216.38*0.7754)+(248.57*0.2246),2)</f>
        <v>223.61</v>
      </c>
      <c r="N113" s="3">
        <f>ROUND((288.06*0.6505)+(303.98*0.3495),2)</f>
        <v>293.62</v>
      </c>
      <c r="O113" s="3">
        <f>ROUND((341.17*0.5887)+(369.58*0.4113),2)</f>
        <v>352.86</v>
      </c>
    </row>
    <row r="114" spans="1:15" x14ac:dyDescent="0.25">
      <c r="A114">
        <v>2025</v>
      </c>
      <c r="B114" s="2" t="s">
        <v>19</v>
      </c>
      <c r="C114" s="3">
        <f>ROUND((277.77*0.6015)+(287.84*0.3985),2)</f>
        <v>281.77999999999997</v>
      </c>
      <c r="D114" s="3">
        <f>ROUND((294.42*0.5291)+(301.81*0.4709),2)</f>
        <v>297.89999999999998</v>
      </c>
      <c r="E114" s="3">
        <f>ROUND((422.93*0.5021)+(376.21*0.4979),2)</f>
        <v>399.67</v>
      </c>
      <c r="F114" s="3">
        <f>ROUND((258.42*0.5604)+(281.31*0.4396),2)</f>
        <v>268.48</v>
      </c>
      <c r="G114" s="3">
        <f>ROUND((262.3*0.6882)+(232.79*0.3118),2)</f>
        <v>253.1</v>
      </c>
      <c r="H114" s="3">
        <f>ROUND((272.54*0.6008)+(298.32*0.3992),2)</f>
        <v>282.83</v>
      </c>
      <c r="I114" s="3">
        <f>ROUND((285.7*0.498)+(283.16*0.502),2)</f>
        <v>284.42</v>
      </c>
      <c r="J114" s="3">
        <f>ROUND((315.13*0.625)+(328.76*0.375),2)</f>
        <v>320.24</v>
      </c>
      <c r="K114" s="3">
        <f>ROUND((139.02*0.6403)+(129.74*0.3597),2)</f>
        <v>135.68</v>
      </c>
      <c r="L114" s="3">
        <f>ROUND((248.81*0.6548)+(294.4*0.3452),2)</f>
        <v>264.55</v>
      </c>
      <c r="M114" s="3">
        <f>ROUND((216.38*0.7754)+(248.58*0.2246),2)</f>
        <v>223.61</v>
      </c>
      <c r="N114" s="3">
        <f>ROUND((288.7*0.6505)+(305.53*0.3495),2)</f>
        <v>294.58</v>
      </c>
      <c r="O114" s="3">
        <f>ROUND((343.1*0.5887)+(371.89*0.4113),2)</f>
        <v>354.94</v>
      </c>
    </row>
    <row r="115" spans="1:15" x14ac:dyDescent="0.25">
      <c r="A115">
        <v>2025</v>
      </c>
      <c r="B115" s="2" t="s">
        <v>20</v>
      </c>
      <c r="C115" s="3">
        <f>ROUND((276.76*0.6015)+(286.21*0.3985),2)</f>
        <v>280.52999999999997</v>
      </c>
      <c r="D115" s="3">
        <f>ROUND((288.12*0.5291)+(295.24*0.4709),2)</f>
        <v>291.47000000000003</v>
      </c>
      <c r="E115" s="3">
        <f>ROUND((423.08*0.5021)+(376.15*0.4979),2)</f>
        <v>399.71</v>
      </c>
      <c r="F115" s="3">
        <f>ROUND((259.13*0.5604)+(282.26*0.4396),2)</f>
        <v>269.3</v>
      </c>
      <c r="G115" s="3">
        <f>ROUND((263.6*0.6882)+(235.35*0.3118),2)</f>
        <v>254.79</v>
      </c>
      <c r="H115" s="3">
        <f>ROUND((272.53*0.6008)+(298.95*0.3992),2)</f>
        <v>283.08</v>
      </c>
      <c r="I115" s="3">
        <f>ROUND((286.29*0.498)+(284.75*0.502),2)</f>
        <v>285.52</v>
      </c>
      <c r="J115" s="3">
        <f>ROUND((315.14*0.625)+(328.23*0.375),2)</f>
        <v>320.05</v>
      </c>
      <c r="K115" s="3">
        <f>ROUND((139.07*0.6403)+(129.75*0.3597),2)</f>
        <v>135.72</v>
      </c>
      <c r="L115" s="3">
        <f>ROUND((249.17*0.6548)+(294.68*0.3452),2)</f>
        <v>264.88</v>
      </c>
      <c r="M115" s="3">
        <f>ROUND((218.2*0.7754)+(251.05*0.2246),2)</f>
        <v>225.58</v>
      </c>
      <c r="N115" s="3">
        <f>ROUND((290.95*0.6505)+(306.16*0.3495),2)</f>
        <v>296.27</v>
      </c>
      <c r="O115" s="3">
        <f>ROUND((347.83*0.5887)+(378.9*0.4113),2)</f>
        <v>360.61</v>
      </c>
    </row>
    <row r="116" spans="1:15" x14ac:dyDescent="0.25">
      <c r="A116">
        <v>2026</v>
      </c>
      <c r="B116" s="2" t="s">
        <v>21</v>
      </c>
      <c r="C116" s="3">
        <f>ROUND((277.41*0.6015)+(287.97*0.3985),2)</f>
        <v>281.62</v>
      </c>
      <c r="D116" s="3">
        <f>ROUND((287.32*0.5291)+(296.48*0.4709),2)</f>
        <v>291.63</v>
      </c>
      <c r="E116" s="3">
        <f>ROUND((423.06*0.5021)+(376.56*0.4979),2)</f>
        <v>399.91</v>
      </c>
      <c r="F116" s="3">
        <f>ROUND((259.76*0.5604)+(283.64*0.4396),2)</f>
        <v>270.26</v>
      </c>
      <c r="G116" s="3">
        <f>ROUND((265.9*0.6882)+(239.16*0.3118),2)</f>
        <v>257.56</v>
      </c>
      <c r="H116" s="3">
        <f>ROUND((272.57*0.6008)+(300.95*0.3992),2)</f>
        <v>283.89999999999998</v>
      </c>
      <c r="I116" s="3">
        <f>ROUND((287.22*0.498)+(286.31*0.502),2)</f>
        <v>286.76</v>
      </c>
      <c r="J116" s="3">
        <f>ROUND((310.77*0.625)+(323.79*0.375),2)</f>
        <v>315.64999999999998</v>
      </c>
      <c r="K116" s="3">
        <f>ROUND((139.1*0.6403)+(129.76*0.3597),2)</f>
        <v>135.74</v>
      </c>
      <c r="L116" s="3">
        <f>ROUND((249.18*0.6548)+(295.21*0.3452),2)</f>
        <v>265.07</v>
      </c>
      <c r="M116" s="3">
        <f>ROUND((218.2*0.7754)+(253.53*0.2246),2)</f>
        <v>226.14</v>
      </c>
      <c r="N116" s="3">
        <f>ROUND((291.46*0.6505)+(307.67*0.3495),2)</f>
        <v>297.13</v>
      </c>
      <c r="O116" s="3">
        <f>ROUND((356.81*0.5887)+(386.13*0.4113),2)</f>
        <v>368.87</v>
      </c>
    </row>
    <row r="117" spans="1:15" x14ac:dyDescent="0.25">
      <c r="A117">
        <v>2026</v>
      </c>
      <c r="B117" s="2" t="s">
        <v>22</v>
      </c>
      <c r="C117" s="3">
        <f>ROUND((278.15*0.6015)+(288.78*0.3985),2)</f>
        <v>282.39</v>
      </c>
      <c r="D117" s="3">
        <f>ROUND((284.29*0.5291)+(294.59*0.4709),2)</f>
        <v>289.14</v>
      </c>
      <c r="E117" s="3">
        <f>ROUND((425.08*0.5021)+(377.49*0.4979),2)</f>
        <v>401.38</v>
      </c>
      <c r="F117" s="3">
        <f>ROUND((260.8*0.5604)+(284.44*0.4396),2)</f>
        <v>271.19</v>
      </c>
      <c r="G117" s="3">
        <f>ROUND((270.49*0.6882)+(244.39*0.3118),2)</f>
        <v>262.35000000000002</v>
      </c>
      <c r="H117" s="3">
        <f>ROUND((273.11*0.6008)+(301.65*0.3992),2)</f>
        <v>284.5</v>
      </c>
      <c r="I117" s="3">
        <f>ROUND((288.28*0.498)+(288.76*0.502),2)</f>
        <v>288.52</v>
      </c>
      <c r="J117" s="3">
        <f>ROUND((303.91*0.625)+(319.33*0.375),2)</f>
        <v>309.69</v>
      </c>
      <c r="K117" s="3">
        <f>ROUND((139.11*0.6403)+(129.76*0.3597),2)</f>
        <v>135.75</v>
      </c>
      <c r="L117" s="3">
        <f>ROUND((249.21*0.6548)+(295.42*0.3452),2)</f>
        <v>265.16000000000003</v>
      </c>
      <c r="M117" s="3">
        <f>ROUND((218.23*0.7754)+(254.06*0.2246),2)</f>
        <v>226.28</v>
      </c>
      <c r="N117" s="3">
        <f>ROUND((292.5*0.6505)+(308.67*0.3495),2)</f>
        <v>298.14999999999998</v>
      </c>
      <c r="O117" s="3">
        <f>ROUND((369.72*0.5887)+(397.74*0.4113),2)</f>
        <v>381.24</v>
      </c>
    </row>
    <row r="118" spans="1:15" x14ac:dyDescent="0.25">
      <c r="A118">
        <v>2026</v>
      </c>
      <c r="B118" s="2" t="s">
        <v>23</v>
      </c>
      <c r="C118" s="3">
        <f>ROUND((281.87*0.6015)+(291.55*0.3985),2)</f>
        <v>285.73</v>
      </c>
      <c r="D118" s="3">
        <f>ROUND((284.32*0.5291)+(292.61*0.4709),2)</f>
        <v>288.22000000000003</v>
      </c>
      <c r="E118" s="3">
        <f>ROUND((426.28*0.5021)+(378.34*0.4979),2)</f>
        <v>402.41</v>
      </c>
      <c r="F118" s="3">
        <f>ROUND((262.74*0.5604)+(288.37*0.4396),2)</f>
        <v>274.01</v>
      </c>
      <c r="G118" s="3">
        <f>ROUND((273.89*0.6882)+(249.88*0.3118),2)</f>
        <v>266.39999999999998</v>
      </c>
      <c r="H118" s="3">
        <f>ROUND((274.82*0.6008)+(303.19*0.3992),2)</f>
        <v>286.14999999999998</v>
      </c>
      <c r="I118" s="3">
        <f>ROUND((289.27*0.498)+(289.05*0.502),2)</f>
        <v>289.16000000000003</v>
      </c>
      <c r="J118" s="3">
        <f>ROUND((340.79*0.625)+(355.04*0.375),2)</f>
        <v>346.13</v>
      </c>
      <c r="K118" s="3">
        <f>ROUND((139.25*0.6403)+(130.13*0.3597),2)</f>
        <v>135.97</v>
      </c>
      <c r="L118" s="3">
        <f>ROUND((249.7*0.6548)+(294.46*0.3452),2)</f>
        <v>265.14999999999998</v>
      </c>
      <c r="M118" s="3">
        <f>ROUND((221.05*0.7754)+(255.8*0.2246),2)</f>
        <v>228.85</v>
      </c>
      <c r="N118" s="3">
        <f>ROUND((294.18*0.6505)+(308.76*0.3495),2)</f>
        <v>299.27999999999997</v>
      </c>
      <c r="O118" s="3">
        <f>ROUND((369.43*0.5887)+(399.47*0.4113),2)</f>
        <v>381.79</v>
      </c>
    </row>
    <row r="119" spans="1:15" x14ac:dyDescent="0.25">
      <c r="A119">
        <v>2026</v>
      </c>
      <c r="B119" s="2" t="s">
        <v>24</v>
      </c>
      <c r="C119" s="3">
        <f>ROUND((289.61*0.6015)+(297.63*0.3985),2)</f>
        <v>292.81</v>
      </c>
      <c r="D119" s="3">
        <f>ROUND((291.71*0.5291)+(295.32*0.4709),2)</f>
        <v>293.41000000000003</v>
      </c>
      <c r="E119" s="3">
        <f>ROUND((426.88*0.5021)+(379.18*0.4979),2)</f>
        <v>403.13</v>
      </c>
      <c r="F119" s="3">
        <f>ROUND((264.87*0.5604)+(290.63*0.4396),2)</f>
        <v>276.19</v>
      </c>
      <c r="G119" s="3">
        <f>ROUND((278.36*0.6882)+(260.74*0.3118),2)</f>
        <v>272.87</v>
      </c>
      <c r="H119" s="3">
        <f>ROUND((276.49*0.6008)+(304.56*0.3992),2)</f>
        <v>287.7</v>
      </c>
      <c r="I119" s="3">
        <f>ROUND((290.64*0.498)+(289.45*0.502),2)</f>
        <v>290.04000000000002</v>
      </c>
      <c r="J119" s="3">
        <f>ROUND((398.87*0.625)+(401.07*0.375),2)</f>
        <v>399.7</v>
      </c>
      <c r="K119" s="3">
        <f>ROUND((139.47*0.6403)+(130.13*0.3597),2)</f>
        <v>136.11000000000001</v>
      </c>
      <c r="L119" s="3">
        <f>ROUND((249.8*0.6548)+(293.22*0.3452),2)</f>
        <v>264.79000000000002</v>
      </c>
      <c r="M119" s="3">
        <f>ROUND((227.74*0.7754)+(262.83*0.2246),2)</f>
        <v>235.62</v>
      </c>
      <c r="N119" s="3">
        <f>ROUND((296.83*0.6505)+(310.03*0.3495),2)</f>
        <v>301.44</v>
      </c>
      <c r="O119" s="3">
        <f>ROUND((367.68*0.5887)+(397.53*0.4113),2)</f>
        <v>379.96</v>
      </c>
    </row>
    <row r="120" spans="1:15" x14ac:dyDescent="0.25">
      <c r="A120">
        <v>2026</v>
      </c>
      <c r="B120" s="2" t="s">
        <v>25</v>
      </c>
      <c r="C120" s="3">
        <f>ROUND((291.58*0.6015)+(298.51*0.3985),2)</f>
        <v>294.33999999999997</v>
      </c>
      <c r="D120" s="3">
        <f>ROUND((291.88*0.5291)+(295.76*0.4709),2)</f>
        <v>293.70999999999998</v>
      </c>
      <c r="E120" s="3">
        <f>ROUND((427.73*0.5021)+(380.88*0.4979),2)</f>
        <v>404.4</v>
      </c>
      <c r="F120" s="3">
        <f>ROUND((280.55*0.5604)+(292.09*0.4396),2)</f>
        <v>285.62</v>
      </c>
      <c r="G120" s="3">
        <f>ROUND((274.66*0.6882)+(257.64*0.3118),2)</f>
        <v>269.35000000000002</v>
      </c>
      <c r="H120" s="3">
        <f>ROUND((280.81*0.6008)+(309.02*0.3992),2)</f>
        <v>292.07</v>
      </c>
      <c r="I120" s="3">
        <f>ROUND((292.4*0.498)+(292.42*0.502),2)</f>
        <v>292.41000000000003</v>
      </c>
      <c r="J120" s="3">
        <f>ROUND((420.75*0.625)+(419.27*0.375),2)</f>
        <v>420.2</v>
      </c>
      <c r="K120" s="3">
        <f>ROUND((139.76*0.6403)+(130.13*0.3597),2)</f>
        <v>136.30000000000001</v>
      </c>
      <c r="L120" s="3">
        <f>ROUND((250.24*0.6548)+(293.35*0.3452),2)</f>
        <v>265.12</v>
      </c>
      <c r="M120" s="3">
        <f>ROUND((229.64*0.7754)+(264.31*0.2246),2)</f>
        <v>237.43</v>
      </c>
      <c r="N120" s="3">
        <f>ROUND((299.09*0.6505)+(310.88*0.3495),2)</f>
        <v>303.20999999999998</v>
      </c>
      <c r="O120" s="3">
        <f>ROUND((363.87*0.5887)+(392.19*0.4113),2)</f>
        <v>375.52</v>
      </c>
    </row>
    <row r="121" spans="1:15" x14ac:dyDescent="0.25">
      <c r="A121">
        <v>2026</v>
      </c>
      <c r="B121" s="2" t="s">
        <v>26</v>
      </c>
      <c r="C121" s="3">
        <f>ROUND((290.2*0.6015)+(298.41*0.3985),2)</f>
        <v>293.47000000000003</v>
      </c>
      <c r="D121" s="3">
        <f>ROUND((294.92*0.5291)+(298.32*0.4709),2)</f>
        <v>296.52</v>
      </c>
      <c r="E121" s="3">
        <f>ROUND((434.78*0.5021)+(384.76*0.4979),2)</f>
        <v>409.88</v>
      </c>
      <c r="F121" s="3">
        <f>ROUND((283.12*0.5604)+(293.75*0.4396),2)</f>
        <v>287.79000000000002</v>
      </c>
      <c r="G121" s="3">
        <f>ROUND((272.81*0.6882)+(258.31*0.3118),2)</f>
        <v>268.29000000000002</v>
      </c>
      <c r="H121" s="3">
        <f>ROUND((283.93*0.6008)+(311.02*0.3992),2)</f>
        <v>294.74</v>
      </c>
      <c r="I121" s="3">
        <f>ROUND((294.3*0.498)+(295.91*0.502),2)</f>
        <v>295.11</v>
      </c>
      <c r="J121" s="3">
        <f>ROUND((390.16*0.625)+(389.39*0.375),2)</f>
        <v>389.87</v>
      </c>
      <c r="K121" s="3">
        <f>ROUND((139.81*0.6403)+(130.14*0.3597),2)</f>
        <v>136.33000000000001</v>
      </c>
      <c r="L121" s="3">
        <f>ROUND((252.1*0.6548)+(293.61*0.3452),2)</f>
        <v>266.43</v>
      </c>
      <c r="M121" s="3">
        <f>ROUND((229.95*0.7754)+(265.38*0.2246),2)</f>
        <v>237.91</v>
      </c>
      <c r="N121" s="3">
        <f>ROUND((298.29*0.6505)+(315.46*0.3495),2)</f>
        <v>304.29000000000002</v>
      </c>
      <c r="O121" s="3">
        <f>ROUND((356.59*0.5887)+(385.65*0.4113),2)</f>
        <v>368.54</v>
      </c>
    </row>
    <row r="122" spans="1:15" x14ac:dyDescent="0.25">
      <c r="A122">
        <v>2026</v>
      </c>
      <c r="B122" s="2" t="s">
        <v>15</v>
      </c>
      <c r="C122" s="3">
        <f>ROUND((293.58*0.6015)+(302.09*0.3985),2)</f>
        <v>296.97000000000003</v>
      </c>
      <c r="D122" s="3">
        <f>ROUND((307.98*0.5291)+(309.84*0.4709),2)</f>
        <v>308.86</v>
      </c>
      <c r="E122" s="3">
        <f>ROUND((435.24*0.5021)+(384.77*0.4979),2)</f>
        <v>410.11</v>
      </c>
      <c r="F122" s="3">
        <f>ROUND((283.31*0.5604)+(294.93*0.4396),2)</f>
        <v>288.42</v>
      </c>
      <c r="G122" s="3">
        <f>ROUND((272.48*0.6882)+(253.73*0.3118),2)</f>
        <v>266.63</v>
      </c>
      <c r="H122" s="3">
        <f>ROUND((286.6*0.6008)+(315.19*0.3992),2)</f>
        <v>298.01</v>
      </c>
      <c r="I122" s="3">
        <f>ROUND((297.03*0.498)+(296.4*0.502),2)</f>
        <v>296.70999999999998</v>
      </c>
      <c r="J122" s="3">
        <f>ROUND((367.98*0.625)+(371.91*0.375),2)</f>
        <v>369.45</v>
      </c>
      <c r="K122" s="3">
        <f>ROUND((159.86*0.6403)+(142.71*0.3597),2)</f>
        <v>153.69</v>
      </c>
      <c r="L122" s="3">
        <f>ROUND((253.84*0.6548)+(300.18*0.3452),2)</f>
        <v>269.83999999999997</v>
      </c>
      <c r="M122" s="3">
        <f>ROUND((231.32*0.7754)+(269.84*0.2246),2)</f>
        <v>239.97</v>
      </c>
      <c r="N122" s="3">
        <f>ROUND((300.67*0.6505)+(317.01*0.3495),2)</f>
        <v>306.38</v>
      </c>
      <c r="O122" s="3">
        <f>ROUND((354.91*0.5887)+(384.67*0.4113),2)</f>
        <v>367.15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PBS</dc:creator>
  <cp:lastModifiedBy>PBS</cp:lastModifiedBy>
  <dcterms:created xsi:type="dcterms:W3CDTF">2026-08-04T10:00:05Z</dcterms:created>
  <dcterms:modified xsi:type="dcterms:W3CDTF">2026-08-04T10:00:16Z</dcterms:modified>
</cp:coreProperties>
</file>